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2.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richData/rdrichvaluestructure.xml" ContentType="application/vnd.ms-excel.rdrichvaluestructure+xml"/>
  <Override PartName="/xl/richData/rdRichValueTypes.xml" ContentType="application/vnd.ms-excel.rdrichvaluetypes+xml"/>
  <Override PartName="/xl/richData/richValueRel.xml" ContentType="application/vnd.ms-excel.richvaluerel+xml"/>
  <Override PartName="/xl/richData/rdrichvalue.xml" ContentType="application/vnd.ms-excel.rdrichvalu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defaultThemeVersion="166925"/>
  <mc:AlternateContent xmlns:mc="http://schemas.openxmlformats.org/markup-compatibility/2006">
    <mc:Choice Requires="x15">
      <x15ac:absPath xmlns:x15ac="http://schemas.microsoft.com/office/spreadsheetml/2010/11/ac" url="D:\SEM-8\Data Rules Set Check\Data_rulesets_check\"/>
    </mc:Choice>
  </mc:AlternateContent>
  <xr:revisionPtr revIDLastSave="0" documentId="13_ncr:1_{2A1D9F45-8178-426E-B307-EEB069DA8D87}" xr6:coauthVersionLast="47" xr6:coauthVersionMax="47" xr10:uidLastSave="{00000000-0000-0000-0000-000000000000}"/>
  <bookViews>
    <workbookView xWindow="-110" yWindow="-110" windowWidth="19420" windowHeight="10300" tabRatio="906" firstSheet="2" activeTab="5" xr2:uid="{00000000-000D-0000-FFFF-FFFF00000000}"/>
  </bookViews>
  <sheets>
    <sheet name="Data Availability backup" sheetId="89" state="hidden" r:id="rId1"/>
    <sheet name="Data Availability backup2" sheetId="90" state="hidden" r:id="rId2"/>
    <sheet name="Analysis" sheetId="102" r:id="rId3"/>
    <sheet name="Part (FG) (2)" sheetId="101" state="hidden" r:id="rId4"/>
    <sheet name="Part (FG)" sheetId="103" r:id="rId5"/>
    <sheet name="Site" sheetId="10" r:id="rId6"/>
    <sheet name="Customer" sheetId="11" r:id="rId7"/>
    <sheet name="PartCustomer" sheetId="13" r:id="rId8"/>
    <sheet name="PartUOMConversion" sheetId="65" r:id="rId9"/>
    <sheet name="IndependentDemand" sheetId="18" r:id="rId10"/>
    <sheet name="HistoricalDemandActuals" sheetId="58" r:id="rId11"/>
    <sheet name="HDA(SecondarySales)" sheetId="97" r:id="rId12"/>
    <sheet name="ProductHierarchy" sheetId="33" r:id="rId13"/>
    <sheet name="Calendar" sheetId="54" r:id="rId14"/>
    <sheet name="CalendarDate" sheetId="63" r:id="rId15"/>
  </sheets>
  <definedNames>
    <definedName name="_xlnm._FilterDatabase" localSheetId="6" hidden="1">Customer!$B$6:$C$6</definedName>
    <definedName name="_xlnm._FilterDatabase" localSheetId="1" hidden="1">'Data Availability backup2'!$B$23:$AH$101</definedName>
    <definedName name="_xlnm._FilterDatabase" localSheetId="11" hidden="1">HistoricalDemandActuals!$B$7:$C$7</definedName>
    <definedName name="_xlnm._FilterDatabase" localSheetId="10" hidden="1">HistoricalDemandActuals!$B$7:$C$7</definedName>
    <definedName name="_xlnm._FilterDatabase" localSheetId="9" hidden="1">IndependentDemand!$B$7:$G$21</definedName>
    <definedName name="_xlnm._FilterDatabase" localSheetId="4" hidden="1">'Part (FG)'!$B$6:$C$17</definedName>
    <definedName name="_xlnm._FilterDatabase" localSheetId="3" hidden="1">'Part (FG) (2)'!$A$4:$B$33</definedName>
    <definedName name="_xlnm._FilterDatabase" localSheetId="7" hidden="1">PartCustomer!$A$4:$B$9</definedName>
    <definedName name="_xlnm._FilterDatabase" localSheetId="12" hidden="1">ProductHierarchy!$B$7:$C$32</definedName>
    <definedName name="_xlnm._FilterDatabase" localSheetId="5" hidden="1">Site!$D$6:$F$6</definedName>
    <definedName name="Z_183AA635_FA98_4C70_9AA7_962C7F5F677C_.wvu.Cols" localSheetId="6" hidden="1">Customer!#REF!</definedName>
    <definedName name="Z_183AA635_FA98_4C70_9AA7_962C7F5F677C_.wvu.Cols" localSheetId="9" hidden="1">IndependentDemand!#REF!</definedName>
    <definedName name="Z_183AA635_FA98_4C70_9AA7_962C7F5F677C_.wvu.Cols" localSheetId="4" hidden="1">'Part (FG)'!#REF!</definedName>
    <definedName name="Z_183AA635_FA98_4C70_9AA7_962C7F5F677C_.wvu.Cols" localSheetId="3" hidden="1">'Part (FG) (2)'!#REF!</definedName>
    <definedName name="Z_183AA635_FA98_4C70_9AA7_962C7F5F677C_.wvu.Cols" localSheetId="7" hidden="1">PartCustomer!#REF!</definedName>
    <definedName name="Z_183AA635_FA98_4C70_9AA7_962C7F5F677C_.wvu.Cols" localSheetId="5" hidden="1">Site!#REF!</definedName>
    <definedName name="Z_183AA635_FA98_4C70_9AA7_962C7F5F677C_.wvu.FilterData" localSheetId="9" hidden="1">IndependentDemand!$B$7:$C$19</definedName>
    <definedName name="Z_183AA635_FA98_4C70_9AA7_962C7F5F677C_.wvu.FilterData" localSheetId="4" hidden="1">'Part (FG)'!$B$6:$C$15</definedName>
    <definedName name="Z_183AA635_FA98_4C70_9AA7_962C7F5F677C_.wvu.FilterData" localSheetId="3" hidden="1">'Part (FG) (2)'!$A$4:$B$29</definedName>
    <definedName name="Z_183AA635_FA98_4C70_9AA7_962C7F5F677C_.wvu.FilterData" localSheetId="5" hidden="1">Site!$B$6:$C$11</definedName>
  </definedNames>
  <calcPr calcId="191028"/>
  <customWorkbookViews>
    <customWorkbookView name="Upadhyay, Ashutosh C. - Personal View" guid="{183AA635-FA98-4C70-9AA7-962C7F5F677C}" mergeInterval="0" personalView="1" maximized="1" xWindow="-8" yWindow="-8" windowWidth="1382" windowHeight="754" tabRatio="934" activeSheetId="8"/>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 i="90" l="1"/>
  <c r="N8" i="90" s="1"/>
  <c r="O2" i="90"/>
  <c r="O8" i="90" s="1"/>
  <c r="P2" i="90"/>
  <c r="P8" i="90" s="1"/>
  <c r="Q2" i="90"/>
  <c r="Q8" i="90" s="1"/>
  <c r="N3" i="90"/>
  <c r="O3" i="90"/>
  <c r="P3" i="90"/>
  <c r="Q3" i="90"/>
  <c r="N4" i="90"/>
  <c r="O4" i="90"/>
  <c r="P4" i="90"/>
  <c r="Q4" i="90"/>
  <c r="N5" i="90"/>
  <c r="O5" i="90"/>
  <c r="P5" i="90"/>
  <c r="Q5" i="90"/>
  <c r="N6" i="90"/>
  <c r="O6" i="90"/>
  <c r="P6" i="90"/>
  <c r="Q6" i="90"/>
  <c r="N7" i="90"/>
  <c r="O7" i="90"/>
  <c r="P7" i="90"/>
  <c r="Q7" i="90"/>
</calcChain>
</file>

<file path=xl/metadata.xml><?xml version="1.0" encoding="utf-8"?>
<metadata xmlns="http://schemas.openxmlformats.org/spreadsheetml/2006/main">
  <metadataTypes count="1">
    <metadataType name="XLRICHVALUE" minSupportedVersion="120000" copy="1" pasteAll="1" pasteValues="1" merge="1" splitFirst="1" rowColShift="1" clearFormats="1" clearComments="1" assign="1" coerce="1"/>
  </metadataTypes>
  <futureMetadata name="XLRICHVALUE" count="2">
    <bk>
      <extLst>
        <ext xmlns:xlrd="http://schemas.microsoft.com/office/spreadsheetml/2017/richdata" uri="{3e2802c4-a4d2-4d8b-9148-e3be6c30e623}">
          <xlrd:rvb i="0"/>
        </ext>
      </extLst>
    </bk>
    <bk>
      <extLst>
        <ext xmlns:xlrd="http://schemas.microsoft.com/office/spreadsheetml/2017/richdata" uri="{3e2802c4-a4d2-4d8b-9148-e3be6c30e623}">
          <xlrd:rvb i="1"/>
        </ext>
      </extLst>
    </bk>
  </futureMetadata>
  <valueMetadata count="2">
    <bk>
      <rc t="1" v="0"/>
    </bk>
    <bk>
      <rc t="1" v="1"/>
    </bk>
  </valueMetadata>
</metadata>
</file>

<file path=xl/sharedStrings.xml><?xml version="1.0" encoding="utf-8"?>
<sst xmlns="http://schemas.openxmlformats.org/spreadsheetml/2006/main" count="1926" uniqueCount="661">
  <si>
    <t>S.No</t>
  </si>
  <si>
    <t>Inteterface Name</t>
  </si>
  <si>
    <t>Planning Parameters</t>
  </si>
  <si>
    <t>SAP Table</t>
  </si>
  <si>
    <t>SAP Field</t>
  </si>
  <si>
    <t>Tcode</t>
  </si>
  <si>
    <t>Field Name</t>
  </si>
  <si>
    <t>Business Unit</t>
  </si>
  <si>
    <t>Beverages</t>
  </si>
  <si>
    <t>Capital Foods</t>
  </si>
  <si>
    <t>Packaged Foods</t>
  </si>
  <si>
    <t>Organic India</t>
  </si>
  <si>
    <t>Part</t>
  </si>
  <si>
    <t>AverageSellingPrice</t>
  </si>
  <si>
    <t>MBEW</t>
  </si>
  <si>
    <t>VERPR</t>
  </si>
  <si>
    <t>CarryingCost</t>
  </si>
  <si>
    <t>SafetyStockQty</t>
  </si>
  <si>
    <t>MARC</t>
  </si>
  <si>
    <t>EISBE</t>
  </si>
  <si>
    <t>StdUnitCost</t>
  </si>
  <si>
    <t>STPRS</t>
  </si>
  <si>
    <t>NumberOfDaysSupply</t>
  </si>
  <si>
    <t>DISLS</t>
  </si>
  <si>
    <t>SafetyLeadTime</t>
  </si>
  <si>
    <t>SHZET</t>
  </si>
  <si>
    <t>MinimumShelfLife</t>
  </si>
  <si>
    <t>MARA</t>
  </si>
  <si>
    <t>MHDRZ</t>
  </si>
  <si>
    <t>Fixed lot size</t>
  </si>
  <si>
    <t>BSTFE</t>
  </si>
  <si>
    <t>PartSource</t>
  </si>
  <si>
    <t>Supplier ID</t>
  </si>
  <si>
    <t>EINA-LIFNR</t>
  </si>
  <si>
    <t>VENDOR NUMBER</t>
  </si>
  <si>
    <t>Supplier Site Value</t>
  </si>
  <si>
    <t xml:space="preserve">EINA-MATNR ,EINA-MATNR </t>
  </si>
  <si>
    <t>WERKS</t>
  </si>
  <si>
    <t>TransitTime</t>
  </si>
  <si>
    <t xml:space="preserve">EINE-INFNR </t>
  </si>
  <si>
    <t>EINE- APLFZ</t>
  </si>
  <si>
    <t>TransportationMode</t>
  </si>
  <si>
    <t xml:space="preserve">T001W-WERKS </t>
  </si>
  <si>
    <t>PLANT</t>
  </si>
  <si>
    <t>FixedLeadTime</t>
  </si>
  <si>
    <t>PLIFZ</t>
  </si>
  <si>
    <t>MaximumQty</t>
  </si>
  <si>
    <t>MKAL</t>
  </si>
  <si>
    <t>BSTMA</t>
  </si>
  <si>
    <t>MinimumQty</t>
  </si>
  <si>
    <t>BSTMI</t>
  </si>
  <si>
    <t>MultipleQty</t>
  </si>
  <si>
    <t>RoutingID</t>
  </si>
  <si>
    <t>RoutingSite</t>
  </si>
  <si>
    <t>DocktoStockLeadtime</t>
  </si>
  <si>
    <t>WEBAZ</t>
  </si>
  <si>
    <t>Planning Time Fence</t>
  </si>
  <si>
    <t>SalesOrder (IndependentDemand)</t>
  </si>
  <si>
    <t>OrderPriority</t>
  </si>
  <si>
    <t>UnitSellingPrice</t>
  </si>
  <si>
    <t>AlternatePart (Substitution)</t>
  </si>
  <si>
    <t>PrimaryPart.Name</t>
  </si>
  <si>
    <t>STPO</t>
  </si>
  <si>
    <t>IDNRK &amp; ALPOS</t>
  </si>
  <si>
    <t>PrimaryPart.Site</t>
  </si>
  <si>
    <t>MCHA</t>
  </si>
  <si>
    <t>LIFNR</t>
  </si>
  <si>
    <t>SubstitutePart.Name</t>
  </si>
  <si>
    <t>SubstitutePart.Site</t>
  </si>
  <si>
    <t>EffectiveInDate</t>
  </si>
  <si>
    <t>DATUV</t>
  </si>
  <si>
    <t>EffectiveOutDate</t>
  </si>
  <si>
    <t>DATUB</t>
  </si>
  <si>
    <t>ProductHierarchy</t>
  </si>
  <si>
    <t>MaterialGroup</t>
  </si>
  <si>
    <t>MaterialGroup Description</t>
  </si>
  <si>
    <t>Division</t>
  </si>
  <si>
    <t xml:space="preserve">FERTH </t>
  </si>
  <si>
    <t>Division_Description</t>
  </si>
  <si>
    <t>Category</t>
  </si>
  <si>
    <t>?</t>
  </si>
  <si>
    <t>Category_Description</t>
  </si>
  <si>
    <t>Product</t>
  </si>
  <si>
    <t>MATNR</t>
  </si>
  <si>
    <t>Product_Description</t>
  </si>
  <si>
    <t>Variant</t>
  </si>
  <si>
    <t>Variant_Description</t>
  </si>
  <si>
    <t>Brand</t>
  </si>
  <si>
    <t xml:space="preserve">PRDHA </t>
  </si>
  <si>
    <t>Brand_Description</t>
  </si>
  <si>
    <t>Sub_Brand</t>
  </si>
  <si>
    <t>Sub_Brand_Description</t>
  </si>
  <si>
    <t>Pack_Size</t>
  </si>
  <si>
    <t>Pack_Size_Description</t>
  </si>
  <si>
    <t>Market SKU</t>
  </si>
  <si>
    <t>SupplyFamily</t>
  </si>
  <si>
    <t>ScheduleReceipt</t>
  </si>
  <si>
    <t>EKPO</t>
  </si>
  <si>
    <t>EBELP</t>
  </si>
  <si>
    <t>ActualDockDate</t>
  </si>
  <si>
    <t>MSEG</t>
  </si>
  <si>
    <t>BUDAT_MKPF</t>
  </si>
  <si>
    <t>ActualShipDate</t>
  </si>
  <si>
    <t>LIKP</t>
  </si>
  <si>
    <t>BLDAT</t>
  </si>
  <si>
    <t>ConfirmDate</t>
  </si>
  <si>
    <t>EKES</t>
  </si>
  <si>
    <t>ERDAT</t>
  </si>
  <si>
    <t>DockDate</t>
  </si>
  <si>
    <r>
      <rPr>
        <strike/>
        <sz val="11"/>
        <color rgb="FF000000"/>
        <rFont val="Calibri"/>
        <family val="2"/>
        <scheme val="minor"/>
      </rPr>
      <t xml:space="preserve">EKPO
</t>
    </r>
    <r>
      <rPr>
        <sz val="11"/>
        <color rgb="FF000000"/>
        <rFont val="Calibri"/>
        <family val="2"/>
        <scheme val="minor"/>
      </rPr>
      <t>EKET</t>
    </r>
  </si>
  <si>
    <t>EINDT</t>
  </si>
  <si>
    <t>ExpiryDate</t>
  </si>
  <si>
    <t>LIPS</t>
  </si>
  <si>
    <t>VFDAT</t>
  </si>
  <si>
    <t>UnitPrice</t>
  </si>
  <si>
    <t>NETPR</t>
  </si>
  <si>
    <t>BatchID</t>
  </si>
  <si>
    <t>Alternate BOM</t>
  </si>
  <si>
    <t>EKET</t>
  </si>
  <si>
    <t>EINDT-MBDAT</t>
  </si>
  <si>
    <t>RoutingId</t>
  </si>
  <si>
    <t>Bill Of Materials</t>
  </si>
  <si>
    <t>AlternateValue</t>
  </si>
  <si>
    <t>STLKN</t>
  </si>
  <si>
    <t>STLAL</t>
  </si>
  <si>
    <t>EffectiveIndate</t>
  </si>
  <si>
    <t>STKO</t>
  </si>
  <si>
    <t>QuantityPer</t>
  </si>
  <si>
    <t>BMENG</t>
  </si>
  <si>
    <t>Scrap</t>
  </si>
  <si>
    <t>AUSCH</t>
  </si>
  <si>
    <t>SubstituteGroup.Value</t>
  </si>
  <si>
    <t>ALPGR</t>
  </si>
  <si>
    <t>Action</t>
  </si>
  <si>
    <t>Class</t>
  </si>
  <si>
    <t>Sno.</t>
  </si>
  <si>
    <t>OK for Data Lake Extraction</t>
  </si>
  <si>
    <t>T1</t>
  </si>
  <si>
    <t>Data available in SAP and used for Planning</t>
  </si>
  <si>
    <t>SAP</t>
  </si>
  <si>
    <t>Available in SAP</t>
  </si>
  <si>
    <t>Validate with Planner Files</t>
  </si>
  <si>
    <t>T2</t>
  </si>
  <si>
    <t>Data available in SAP but not used for planning</t>
  </si>
  <si>
    <t>Excel</t>
  </si>
  <si>
    <t>Available</t>
  </si>
  <si>
    <t>Central KDD on Source of Maintenance</t>
  </si>
  <si>
    <t>T3</t>
  </si>
  <si>
    <t>Not available in SAP but present in offline files</t>
  </si>
  <si>
    <t>T4</t>
  </si>
  <si>
    <t xml:space="preserve"> Not Maintained Is SAP/excel</t>
  </si>
  <si>
    <t>Not Applicable</t>
  </si>
  <si>
    <t>NA</t>
  </si>
  <si>
    <t>Ignore</t>
  </si>
  <si>
    <t>Pending</t>
  </si>
  <si>
    <t>Total</t>
  </si>
  <si>
    <t>Min</t>
  </si>
  <si>
    <t>Mult/Rouding Value</t>
  </si>
  <si>
    <t>Requ</t>
  </si>
  <si>
    <t>Planned Order</t>
  </si>
  <si>
    <t>Finished Goods-FERT/HALB</t>
  </si>
  <si>
    <t>SFG-HALB</t>
  </si>
  <si>
    <t>RM</t>
  </si>
  <si>
    <t>PM</t>
  </si>
  <si>
    <t>Concentrate</t>
  </si>
  <si>
    <t>Capsule</t>
  </si>
  <si>
    <t>Source</t>
  </si>
  <si>
    <t>Remarks</t>
  </si>
  <si>
    <t>BOM</t>
  </si>
  <si>
    <t>Buy Sourcing</t>
  </si>
  <si>
    <t>PartSource(Buy)</t>
  </si>
  <si>
    <t>Target(Supplier Quota)</t>
  </si>
  <si>
    <t>Capacity</t>
  </si>
  <si>
    <t>Constraint</t>
  </si>
  <si>
    <t>Name</t>
  </si>
  <si>
    <t>Period</t>
  </si>
  <si>
    <t>ConstraintAvailable</t>
  </si>
  <si>
    <t>Rate</t>
  </si>
  <si>
    <t>Source Constraint</t>
  </si>
  <si>
    <t>ConstraintFactor</t>
  </si>
  <si>
    <t>FixedConstraint
Factor</t>
  </si>
  <si>
    <t>Customer Hierarchy</t>
  </si>
  <si>
    <t>Customer</t>
  </si>
  <si>
    <t>CustomerGroup ID</t>
  </si>
  <si>
    <t>Country</t>
  </si>
  <si>
    <t>Channel</t>
  </si>
  <si>
    <t>Subchannel</t>
  </si>
  <si>
    <t>Region</t>
  </si>
  <si>
    <t>Area</t>
  </si>
  <si>
    <t>Territory</t>
  </si>
  <si>
    <t>Cluster</t>
  </si>
  <si>
    <t>Make Sourcing</t>
  </si>
  <si>
    <t>PartSource(Make)</t>
  </si>
  <si>
    <t>BSTRF</t>
  </si>
  <si>
    <t>Rounding Value</t>
  </si>
  <si>
    <t>RoutingID/Prod Version</t>
  </si>
  <si>
    <t>Yield</t>
  </si>
  <si>
    <t>Intervals to Expiry</t>
  </si>
  <si>
    <t>MHDHB</t>
  </si>
  <si>
    <t>Part Customer level</t>
  </si>
  <si>
    <t>PartCustomer</t>
  </si>
  <si>
    <t>AvgSelling Price</t>
  </si>
  <si>
    <t>Min Shelf Life</t>
  </si>
  <si>
    <t>Part Master</t>
  </si>
  <si>
    <t>SafetyStockQty/Safety Days</t>
  </si>
  <si>
    <t>Requirement Calculation File</t>
  </si>
  <si>
    <t>Calendar</t>
  </si>
  <si>
    <t>Timeunits(Factory Calendar)</t>
  </si>
  <si>
    <t>Expiry Calendar Indicator (MARA level)</t>
  </si>
  <si>
    <t>InventoryHoldingRate(MEIO)</t>
  </si>
  <si>
    <t>Segmentation</t>
  </si>
  <si>
    <t>Product Hiearachy</t>
  </si>
  <si>
    <t>Substitution</t>
  </si>
  <si>
    <t>Transfer Sourcing</t>
  </si>
  <si>
    <t>PartSource(Transfer)</t>
  </si>
  <si>
    <t>ShipCalendar</t>
  </si>
  <si>
    <t>#</t>
  </si>
  <si>
    <t>Interface</t>
  </si>
  <si>
    <t>Analysis</t>
  </si>
  <si>
    <t>Part (FG) + Site + PartUOMConversion</t>
  </si>
  <si>
    <t>To join all the 3 interfaces</t>
  </si>
  <si>
    <t>To combine Part-Site-PartUOMConversion into a single file for Analysis</t>
  </si>
  <si>
    <t>To display counters: 
1. Count of Parts (Name)
2. Count of Parts (Name) with IBP status - "IBP"
2. Count of Parts (Name) with IBP status - "IBP" and Alt UOM should consists of all std AltUOMs</t>
  </si>
  <si>
    <t>List</t>
  </si>
  <si>
    <t>Link/Data</t>
  </si>
  <si>
    <t>Consolidated PL</t>
  </si>
  <si>
    <t>Std Alt UOMs List</t>
  </si>
  <si>
    <t>&lt;- Summary</t>
  </si>
  <si>
    <r>
      <rPr>
        <b/>
        <sz val="11"/>
        <color theme="1"/>
        <rFont val="Calibri"/>
        <family val="2"/>
        <scheme val="minor"/>
      </rPr>
      <t>Table description:</t>
    </r>
    <r>
      <rPr>
        <sz val="11"/>
        <color theme="1"/>
        <rFont val="Calibri"/>
        <family val="2"/>
        <scheme val="minor"/>
      </rPr>
      <t xml:space="preserve"> The Part table identifies a unique part and site. A record in this table includes data such as: name, description, price, and cost data</t>
    </r>
  </si>
  <si>
    <t>By default: All the required fields should not be blank</t>
  </si>
  <si>
    <t xml:space="preserve">Field Name </t>
  </si>
  <si>
    <t>Required</t>
  </si>
  <si>
    <t>Analysis based on sample data</t>
  </si>
  <si>
    <t>Ruleset</t>
  </si>
  <si>
    <t>Data Lake Column</t>
  </si>
  <si>
    <t>Yes</t>
  </si>
  <si>
    <t>FERT type: 14 digit code starting with 14…
HAWA type: 14 digit code starting with 15…</t>
  </si>
  <si>
    <t>PRODUCT/MATERIALNUMBER</t>
  </si>
  <si>
    <t>Site</t>
  </si>
  <si>
    <t>Any 4 digit code - Only numeric</t>
  </si>
  <si>
    <t>Description</t>
  </si>
  <si>
    <t>User input</t>
  </si>
  <si>
    <t>No</t>
  </si>
  <si>
    <t>PRODUCTDESCRIPTION</t>
  </si>
  <si>
    <t>Part Class</t>
  </si>
  <si>
    <t>FERT/HAWA identified at company level</t>
  </si>
  <si>
    <t>PRODUCTTYPE</t>
  </si>
  <si>
    <t>MovingAvgPricePrdUnitPrice</t>
  </si>
  <si>
    <t>ProductFamily</t>
  </si>
  <si>
    <t>18 digit code, alpha-numeric</t>
  </si>
  <si>
    <t>PRODUCTHIERARCHY</t>
  </si>
  <si>
    <t>Not maintained</t>
  </si>
  <si>
    <t>reorderpoint  </t>
  </si>
  <si>
    <t>Standardprice</t>
  </si>
  <si>
    <t>UnitOfMeasure</t>
  </si>
  <si>
    <t>For FERT: KG, CV
For HAWA: KG, CV, TO
Identified at company level</t>
  </si>
  <si>
    <t>BASEUNIT</t>
  </si>
  <si>
    <t>safetytimeactconv</t>
  </si>
  <si>
    <t>PartType</t>
  </si>
  <si>
    <t>For FERT: PD, ND and blanks exist
For HAWA: ND exists
Identified at company level</t>
  </si>
  <si>
    <t>MRPTYPE</t>
  </si>
  <si>
    <t>PlantSpecificMaterialStatus</t>
  </si>
  <si>
    <t>ProfileCode</t>
  </si>
  <si>
    <t>ProcurementType</t>
  </si>
  <si>
    <t>E/F/X identified at company level</t>
  </si>
  <si>
    <t>PROCUREMENTTYPE</t>
  </si>
  <si>
    <t>ABCCode</t>
  </si>
  <si>
    <t>ABCINDICATOR</t>
  </si>
  <si>
    <t>BuyerCode</t>
  </si>
  <si>
    <t>3 digit code - alphanumeric</t>
  </si>
  <si>
    <t>PURCHASINGGROUP</t>
  </si>
  <si>
    <t>PlannerCode</t>
  </si>
  <si>
    <t>productionsupervisor</t>
  </si>
  <si>
    <t>LOTSIZINGPROCEDURE</t>
  </si>
  <si>
    <t>MINREMSHELFLIFE</t>
  </si>
  <si>
    <t>ReferencePart</t>
  </si>
  <si>
    <t>PRODUCT</t>
  </si>
  <si>
    <t>SourceRule</t>
  </si>
  <si>
    <t>Default in Kinaxis</t>
  </si>
  <si>
    <t>LeadTimeAdjust</t>
  </si>
  <si>
    <t>DemandTimeFence</t>
  </si>
  <si>
    <t>UnsatisfiedDemandTolerence</t>
  </si>
  <si>
    <t>FORWARDCONSUMPTIONPER</t>
  </si>
  <si>
    <t>DaysSupplyPolicy</t>
  </si>
  <si>
    <t>PlanningCalendars</t>
  </si>
  <si>
    <t>PLANNINGCALENDAR</t>
  </si>
  <si>
    <t>AverageQty</t>
  </si>
  <si>
    <t>FIXEDLOTSIZEQUANTITY</t>
  </si>
  <si>
    <t>BeforeForecastInterval</t>
  </si>
  <si>
    <t>BACKWARDCONSUMPTIONPER</t>
  </si>
  <si>
    <t>InventoryHoldingRate</t>
  </si>
  <si>
    <t>Interface: Part (FG)</t>
  </si>
  <si>
    <t>Interface Description: The Part table identifies a unique part and site. A record in this table includes data such as: name, description, price, and cost data</t>
  </si>
  <si>
    <t>Ruleset No.</t>
  </si>
  <si>
    <t xml:space="preserve">Description </t>
  </si>
  <si>
    <t>Available in Data Lake</t>
  </si>
  <si>
    <t>Data Lake Table Name</t>
  </si>
  <si>
    <t xml:space="preserve">Ruleset </t>
  </si>
  <si>
    <t>Type of Ruleset (Extract/Field)</t>
  </si>
  <si>
    <t>P_RS_1</t>
  </si>
  <si>
    <t>Part number or item number.</t>
  </si>
  <si>
    <t>1. For FERT type: Material should range between 14000000000000 and 14999999999999.
 For HAWA type: Material should range between 15000000000000 and 15999999999999.
2. Field should not be blank</t>
  </si>
  <si>
    <t>Field</t>
  </si>
  <si>
    <t>Total 18 characters - preceeding 0000 exist. In .tab file preceeding 0s doesn’t exist. To make sure to add 4 preceeding 0s in KNX outbound.</t>
  </si>
  <si>
    <t>P_RS_2</t>
  </si>
  <si>
    <t>The site associated with this part. This field is a reference to the Value field on the Site table.</t>
  </si>
  <si>
    <t>PRODUCTPLANT</t>
  </si>
  <si>
    <t>1. To validate against consolidated PL list shared by Ajay
2. Field should not be blank</t>
  </si>
  <si>
    <t>Extract</t>
  </si>
  <si>
    <t xml:space="preserve">To validate against consolidated PL list-check for materials. -
Part UOM vs Part </t>
  </si>
  <si>
    <t>P_RS_3</t>
  </si>
  <si>
    <t>A description of the part.</t>
  </si>
  <si>
    <t>1. Field should not be blank</t>
  </si>
  <si>
    <t>P_RS_4</t>
  </si>
  <si>
    <t>The name of the part class, if any, associated with this part. For example, a part class might be finished goods, work in progress, or raw materials. These classes are used by certain application to assign planning, safety stock, and replenishment strategies.</t>
  </si>
  <si>
    <t>1. Field should be either FERT/HAWA
2. Field should not be blank</t>
  </si>
  <si>
    <t>Logic to be built in DL:
IF(Type.Value IN ('FERT','HAWA'),'FG', IF(Type.Value IN ('HALB','BLND'),'SFG',IF(Type.Value IN ('ROH'), 'RM',IF(Type.Value IN ('VERP'), 'PM',''))))</t>
  </si>
  <si>
    <t>P_RS_5</t>
  </si>
  <si>
    <t xml:space="preserve">A reference to the product family (if any) that the part belongs to. Product families can be used to enable aggregate level reporting for groups of related or similar parts. </t>
  </si>
  <si>
    <t>P_RS_6</t>
  </si>
  <si>
    <t>The stock and purchased units in which quantities of this part are measured.</t>
  </si>
  <si>
    <t>1. To validate against Std Alt UOMs list for Part site combination
2. Field should not be blank</t>
  </si>
  <si>
    <t>Validate with Std Alt UOMs - To confirm from MDM team -  KG, CV, TO, EA, PAL</t>
  </si>
  <si>
    <t>P_RS_7</t>
  </si>
  <si>
    <t>TCPL MRPTYPE</t>
  </si>
  <si>
    <t>MRP Type</t>
  </si>
  <si>
    <t>1. Field value should be ND/PD
2. Field should not be blank</t>
  </si>
  <si>
    <t>P_RS_8</t>
  </si>
  <si>
    <t>P_RS_9</t>
  </si>
  <si>
    <t>A/B/C</t>
  </si>
  <si>
    <t>Blank values?</t>
  </si>
  <si>
    <t>P_RS_10</t>
  </si>
  <si>
    <t>IBPSTATUS</t>
  </si>
  <si>
    <t>1. Field values should be either IBP/Blanks</t>
  </si>
  <si>
    <t>Active part counts to be added in the o/p. Get active part list from MDM</t>
  </si>
  <si>
    <t>P_RS_11</t>
  </si>
  <si>
    <t>XPLANTMATSTATUS</t>
  </si>
  <si>
    <t>1. Field values should be either 2/Blanks</t>
  </si>
  <si>
    <r>
      <rPr>
        <b/>
        <sz val="11"/>
        <color theme="1"/>
        <rFont val="Calibri"/>
        <family val="2"/>
        <scheme val="minor"/>
      </rPr>
      <t xml:space="preserve">Table Description: </t>
    </r>
    <r>
      <rPr>
        <sz val="11"/>
        <color theme="1"/>
        <rFont val="Calibri"/>
        <family val="2"/>
        <scheme val="minor"/>
      </rPr>
      <t>The Site table contains valid site codes. An entry should be provided for each site value in the enterprise data. This table is referenced by many other tables. The Site field in these other tables is usually a key field, which keeps planning data from different sites separate. For example, there might be different constraints affecting production at different locations, or different quantities of a part on hand at different locations</t>
    </r>
  </si>
  <si>
    <t>Interface: Site</t>
  </si>
  <si>
    <t>Interface Description: The Site table contains valid site codes. An entry should be provided for each site value in the enterprise data. This table is referenced by many other tables. The Site field in these other tables is usually a key field, which keeps planning data from different sites separate. For example, there might be different constraints affecting production at different locations, or different quantities of a part on hand at different locations</t>
  </si>
  <si>
    <t>S_RS_1</t>
  </si>
  <si>
    <t>Value</t>
  </si>
  <si>
    <t>PLANTMASTER</t>
  </si>
  <si>
    <t>1. To be present in consolidated PL list shared by Ajay
2. All sites in consolidated PL list shared should have active part site combinations in part master
3. Field should not be blank</t>
  </si>
  <si>
    <t>All 173 sites should have part site comb in part extract. No. of sites with active part site combinations</t>
  </si>
  <si>
    <t>S_RS_2</t>
  </si>
  <si>
    <t>NAME</t>
  </si>
  <si>
    <t>S_RS_3</t>
  </si>
  <si>
    <t>Address</t>
  </si>
  <si>
    <t>The street address of the site. If this table is used to support maps, the address in this field determines the geocode that is used to mark the site's location on the map.</t>
  </si>
  <si>
    <t>POSTALCODE</t>
  </si>
  <si>
    <t>In DL</t>
  </si>
  <si>
    <t>Req</t>
  </si>
  <si>
    <t>S_RS_4</t>
  </si>
  <si>
    <t>TCPL:PlantType</t>
  </si>
  <si>
    <t xml:space="preserve">Produ
Ware
Depot
</t>
  </si>
  <si>
    <t>NODETYPESUPPLYCHAINNETWORK</t>
  </si>
  <si>
    <t>1.To validate against standard nodetypes
2.Field should not be blank</t>
  </si>
  <si>
    <t>To ask for the Desc of nodetypesupplynetwork. Sites having incorrect nodetype to be highlighted. Ajay to confirm on factory type</t>
  </si>
  <si>
    <t>PL,TBP,3P,CFA,2P,Vending,3P Hybrid</t>
  </si>
  <si>
    <t>S_RS_5</t>
  </si>
  <si>
    <t>CompanyCode</t>
  </si>
  <si>
    <t>1. Field should be 1001 / 1006 / 1009
2.Field should not be blank</t>
  </si>
  <si>
    <t>Production Plant</t>
  </si>
  <si>
    <t>PL</t>
  </si>
  <si>
    <t>Tea Buying Plant</t>
  </si>
  <si>
    <t>TBP</t>
  </si>
  <si>
    <t>3P</t>
  </si>
  <si>
    <t>CFA</t>
  </si>
  <si>
    <t>2P</t>
  </si>
  <si>
    <t xml:space="preserve">Vending </t>
  </si>
  <si>
    <t>3P Hybrid</t>
  </si>
  <si>
    <t>To be maintained in DL</t>
  </si>
  <si>
    <r>
      <rPr>
        <b/>
        <sz val="11"/>
        <color rgb="FF000000"/>
        <rFont val="Calibri"/>
        <family val="2"/>
        <scheme val="minor"/>
      </rPr>
      <t>Table Description :</t>
    </r>
    <r>
      <rPr>
        <sz val="11"/>
        <color rgb="FF000000"/>
        <rFont val="Calibri"/>
        <family val="2"/>
        <scheme val="minor"/>
      </rPr>
      <t xml:space="preserve"> A customer is a consumer of an independent demand item and may be a consumer, a distributor, service center, or a plant identifier for inter-plant orders</t>
    </r>
  </si>
  <si>
    <t>Interface: Customer</t>
  </si>
  <si>
    <t>Interface Description: A customer is a consumer of an independent demand item and may be a consumer, a distributor, service center, or a plant identifier for inter-plant orders</t>
  </si>
  <si>
    <t>C_RS_1</t>
  </si>
  <si>
    <t>Id</t>
  </si>
  <si>
    <t>A value that identifies the customer. Default value: Undefined</t>
  </si>
  <si>
    <t>CUSTOMER_HIERARCHY_TCPL_IND</t>
  </si>
  <si>
    <t>CUSTOMER</t>
  </si>
  <si>
    <t>1. Customer in HDA and Independent demand to be present in this Customer master and respective Customer hierarchy
2.Field should not be blank</t>
  </si>
  <si>
    <t>Customer in HDA and ID - to be present in Customer master and resp Customer hierarchy- For DL</t>
  </si>
  <si>
    <t>C_RS_2</t>
  </si>
  <si>
    <t xml:space="preserve">Name </t>
  </si>
  <si>
    <t>Name of the customer</t>
  </si>
  <si>
    <t>CUSTOMERNAME</t>
  </si>
  <si>
    <t>C_RS_3</t>
  </si>
  <si>
    <t>The site associated with this customer record. This field is optional.</t>
  </si>
  <si>
    <t>CUSTOMERSALESAREA</t>
  </si>
  <si>
    <t>SUPPLYINGPLANT</t>
  </si>
  <si>
    <t>1. To be present in the site master 
2. Field should not be blank</t>
  </si>
  <si>
    <t>C_RS_4</t>
  </si>
  <si>
    <t>The group this customer is in. For Eg: NA, APAC etc, In PSAI Customer groups ( Key, GG, Others)</t>
  </si>
  <si>
    <t>CustomerGroup</t>
  </si>
  <si>
    <t>C_RS_5</t>
  </si>
  <si>
    <t>CustomerGroupDescription</t>
  </si>
  <si>
    <t>Description associate with the Customer Group ID</t>
  </si>
  <si>
    <t>C_RS_6</t>
  </si>
  <si>
    <t>KeyCustomer</t>
  </si>
  <si>
    <r>
      <t xml:space="preserve">Indicates whether or not this customer is considered a key
(important) customer. This field is used in certain metrics supporting the Order Fulfillment application to enable metric values that arecalculated for both all customers as well as key customers only.
Valid values are </t>
    </r>
    <r>
      <rPr>
        <b/>
        <sz val="11"/>
        <color theme="1"/>
        <rFont val="Calibri"/>
        <family val="2"/>
        <scheme val="minor"/>
      </rPr>
      <t>N</t>
    </r>
    <r>
      <rPr>
        <sz val="11"/>
        <color theme="1"/>
        <rFont val="Calibri"/>
        <family val="2"/>
        <scheme val="minor"/>
      </rPr>
      <t xml:space="preserve"> and </t>
    </r>
    <r>
      <rPr>
        <b/>
        <sz val="11"/>
        <color theme="1"/>
        <rFont val="Calibri"/>
        <family val="2"/>
        <scheme val="minor"/>
      </rPr>
      <t>Y</t>
    </r>
    <r>
      <rPr>
        <sz val="11"/>
        <color theme="1"/>
        <rFont val="Calibri"/>
        <family val="2"/>
        <scheme val="minor"/>
      </rPr>
      <t xml:space="preserve"> </t>
    </r>
  </si>
  <si>
    <t>Industry</t>
  </si>
  <si>
    <t>C_RS_7</t>
  </si>
  <si>
    <t>Customer_Group_1</t>
  </si>
  <si>
    <t>CUSTOMERGROUP1</t>
  </si>
  <si>
    <t>C_RS_8</t>
  </si>
  <si>
    <t>Customer_Group_1_Description</t>
  </si>
  <si>
    <t>CUSTOMERGROUP1_NAME</t>
  </si>
  <si>
    <t>C_RS_9</t>
  </si>
  <si>
    <t>COUNTRY_CODE</t>
  </si>
  <si>
    <t>C_RS_10</t>
  </si>
  <si>
    <t>CountryName</t>
  </si>
  <si>
    <t>COUNTRY_NAME</t>
  </si>
  <si>
    <t>C_RS_11</t>
  </si>
  <si>
    <t>Global Channel</t>
  </si>
  <si>
    <t>GLOBAL_CHANNEL</t>
  </si>
  <si>
    <t>C_RS_12</t>
  </si>
  <si>
    <t>Global Channel_Description</t>
  </si>
  <si>
    <t>GLOBAL_CHANNEL_NAME</t>
  </si>
  <si>
    <t>C_RS_13</t>
  </si>
  <si>
    <t>CHANNEL</t>
  </si>
  <si>
    <t>C_RS_14</t>
  </si>
  <si>
    <t>Channel_Description</t>
  </si>
  <si>
    <t>CHANNEL_DESCRIPTION</t>
  </si>
  <si>
    <t>C_RS_15</t>
  </si>
  <si>
    <t>CUSTOMERPARTNERFUNCTION</t>
  </si>
  <si>
    <t>DIVISION</t>
  </si>
  <si>
    <t>C_RS_16</t>
  </si>
  <si>
    <t>DIVISIONDESC</t>
  </si>
  <si>
    <t>C_RS_17</t>
  </si>
  <si>
    <t>SUB_CHANNEL_CODE_IND_REPORTING</t>
  </si>
  <si>
    <t>C_RS_18</t>
  </si>
  <si>
    <t>Subchannel_Description</t>
  </si>
  <si>
    <t>SUB_CHANNEL_DESC_IND_REPORTING</t>
  </si>
  <si>
    <t>C_RS_19</t>
  </si>
  <si>
    <t>REGION_CODE</t>
  </si>
  <si>
    <t>C_RS_20</t>
  </si>
  <si>
    <t>Region_Name</t>
  </si>
  <si>
    <t>REGION_NAME</t>
  </si>
  <si>
    <t>C_RS_21</t>
  </si>
  <si>
    <t>ASM_CODE</t>
  </si>
  <si>
    <t>C_RS_22</t>
  </si>
  <si>
    <t>Area_description</t>
  </si>
  <si>
    <t>AREA_NAME</t>
  </si>
  <si>
    <t>C_RS_23</t>
  </si>
  <si>
    <t>MARKET_CODE</t>
  </si>
  <si>
    <t>C_RS_24</t>
  </si>
  <si>
    <t>Territory_Description</t>
  </si>
  <si>
    <t>MARKET_NAME</t>
  </si>
  <si>
    <t>C_RS_25</t>
  </si>
  <si>
    <t>CLUSTER_MANAGER_CODE</t>
  </si>
  <si>
    <t>C_RS_26</t>
  </si>
  <si>
    <t>Cluster_description</t>
  </si>
  <si>
    <t>CM_NAME</t>
  </si>
  <si>
    <t>C_RS_27</t>
  </si>
  <si>
    <t>SALESHIERARCHY</t>
  </si>
  <si>
    <r>
      <rPr>
        <b/>
        <sz val="11"/>
        <color theme="1"/>
        <rFont val="Calibri"/>
        <family val="2"/>
        <scheme val="minor"/>
      </rPr>
      <t xml:space="preserve">Table Description: </t>
    </r>
    <r>
      <rPr>
        <sz val="11"/>
        <color theme="1"/>
        <rFont val="Calibri"/>
        <family val="2"/>
        <scheme val="minor"/>
      </rPr>
      <t xml:space="preserve"> The PartCustomer table supports Sales and Operations Planning in Maestro, and should be integrated during the initial deployment. This table identifies each unique part and customer combination provided in historical data and then used in forecast generation. It also contains certain attributes (such as, priority) to be applied across all Forecast records generated from consensus forecast for a given part and customer combination.</t>
    </r>
  </si>
  <si>
    <t>The customer associated with the historical demand series and/or forecast.</t>
  </si>
  <si>
    <t>SalesOrder</t>
  </si>
  <si>
    <t>SoldToParty</t>
  </si>
  <si>
    <t>Not req</t>
  </si>
  <si>
    <r>
      <t xml:space="preserve">The part associated with the historical demand series and/or forecast.
</t>
    </r>
    <r>
      <rPr>
        <b/>
        <sz val="11"/>
        <color theme="1"/>
        <rFont val="Calibri"/>
        <family val="2"/>
        <scheme val="minor"/>
      </rPr>
      <t>Reference Syntax</t>
    </r>
    <r>
      <rPr>
        <sz val="11"/>
        <color theme="1"/>
        <rFont val="Calibri"/>
        <family val="2"/>
        <scheme val="minor"/>
      </rPr>
      <t>: Part.Name, Part.Site</t>
    </r>
  </si>
  <si>
    <t>SalesOrderItem</t>
  </si>
  <si>
    <t>ProductionPlant</t>
  </si>
  <si>
    <t>Material</t>
  </si>
  <si>
    <t>ExpiryOffset</t>
  </si>
  <si>
    <t>Allows for the expiry requirements placed on component
ingredients to be adjusted (reduced) on a part-customer basis. It specifies the number of ExpiryCalendar intervals to extend the minimum shelf life, and hence the calculated EarliestExpiryDate, before exploding demands for a given
part customer down to the item’s components. Thus, the expiry date on supplies used to satisfy demands for the part-customer must then satisfy this adjusted earliest expiry date.</t>
  </si>
  <si>
    <t>TOTALSHELFLIFE</t>
  </si>
  <si>
    <t>For parts configured for expiry, this is the MinimumShelfLife assigned to consensus forecasts for this part and customer combination. This represents the number of expiry calendar intervals to be added to the forecast date to determine the
EarliestExpiryDate (date before which supply must not expire if it is to be used in satisfying this demand).</t>
  </si>
  <si>
    <r>
      <rPr>
        <b/>
        <sz val="11"/>
        <color theme="1"/>
        <rFont val="Calibri"/>
        <family val="2"/>
        <scheme val="minor"/>
      </rPr>
      <t>Table Description :</t>
    </r>
    <r>
      <rPr>
        <sz val="11"/>
        <color theme="1"/>
        <rFont val="Calibri"/>
        <family val="2"/>
        <scheme val="minor"/>
      </rPr>
      <t xml:space="preserve"> A customer is a consumer of an independent demand item and may be a consumer, a distributor, service center, or a plant identifier for inter-plant orders</t>
    </r>
  </si>
  <si>
    <t>Interface: PartUOMConversion</t>
  </si>
  <si>
    <r>
      <rPr>
        <b/>
        <sz val="11"/>
        <color theme="1"/>
        <rFont val="Calibri"/>
        <family val="2"/>
        <scheme val="minor"/>
      </rPr>
      <t>Interface Description:</t>
    </r>
    <r>
      <rPr>
        <sz val="11"/>
        <color theme="1"/>
        <rFont val="Calibri"/>
        <family val="2"/>
        <scheme val="minor"/>
      </rPr>
      <t xml:space="preserve"> Table Description : Stores part-specific unit of measure conversion factors, overriding the standard unit base conversion to ensure accurate quantity calculations for that specific part. </t>
    </r>
  </si>
  <si>
    <t>base UOM</t>
  </si>
  <si>
    <t>Alt UOM</t>
  </si>
  <si>
    <t>Part A</t>
  </si>
  <si>
    <t>Site A</t>
  </si>
  <si>
    <t>EA</t>
  </si>
  <si>
    <t>CS</t>
  </si>
  <si>
    <t>KG</t>
  </si>
  <si>
    <t>TO</t>
  </si>
  <si>
    <t>PU_RS_1</t>
  </si>
  <si>
    <t>SKU SAP Code</t>
  </si>
  <si>
    <t>ProductUnitsOfMeasure</t>
  </si>
  <si>
    <t xml:space="preserve"> 1. Part site combination to be present in the Part master
2. Field should not be blank</t>
  </si>
  <si>
    <t>PU_RS_2</t>
  </si>
  <si>
    <t>Plant Code</t>
  </si>
  <si>
    <t>ProductPlant</t>
  </si>
  <si>
    <t xml:space="preserve"> 1. To be present in the Site master
2. Field should not be blank</t>
  </si>
  <si>
    <t>PU_RS_3</t>
  </si>
  <si>
    <t>UOM to be converted to</t>
  </si>
  <si>
    <t>1.  All Part site Combination to have all Std Alt UOMs.
2. Field should not be blank</t>
  </si>
  <si>
    <t xml:space="preserve">How many Alt UOM are available? Part site comb should have all Alt UOMs. All Part site Comb to have all Alt UOMs. Identify Std Alt UOMs
</t>
  </si>
  <si>
    <t>PU_RS_4</t>
  </si>
  <si>
    <t>Factor</t>
  </si>
  <si>
    <t>Factor to be used for conversion from Base UOM of Part of the Value mentioned in the UnitOfMeasure field</t>
  </si>
  <si>
    <t>QuantityNumerator/QuantityDenominator</t>
  </si>
  <si>
    <r>
      <rPr>
        <b/>
        <sz val="11"/>
        <color theme="1"/>
        <rFont val="Calibri"/>
        <family val="2"/>
        <scheme val="minor"/>
      </rPr>
      <t>Table Description:</t>
    </r>
    <r>
      <rPr>
        <sz val="11"/>
        <color theme="1"/>
        <rFont val="Calibri"/>
        <family val="2"/>
        <scheme val="minor"/>
      </rPr>
      <t xml:space="preserve"> The IndependentDemand table identifies demand not directly related to demand for other parts. Demand for finished goods or services parts are examples of independent demand</t>
    </r>
  </si>
  <si>
    <t>Interface: IndependentDemand</t>
  </si>
  <si>
    <r>
      <rPr>
        <b/>
        <sz val="11"/>
        <color theme="1"/>
        <rFont val="Calibri"/>
        <family val="2"/>
        <scheme val="minor"/>
      </rPr>
      <t xml:space="preserve">Interface Description: </t>
    </r>
    <r>
      <rPr>
        <sz val="11"/>
        <color theme="1"/>
        <rFont val="Calibri"/>
        <family val="2"/>
        <scheme val="minor"/>
      </rPr>
      <t>The IndependentDemand table identifies demand not directly related to demand for other parts. Demand for finished goods or services parts are examples of independent demand</t>
    </r>
  </si>
  <si>
    <t>DataLake Table</t>
  </si>
  <si>
    <t>ID_RS_1</t>
  </si>
  <si>
    <t>Line</t>
  </si>
  <si>
    <t>A unique identifier associated with each IndependentDemand record with the same Order.Id.</t>
  </si>
  <si>
    <t>ID_RS_2</t>
  </si>
  <si>
    <t>OrderId</t>
  </si>
  <si>
    <r>
      <t xml:space="preserve">A value that determines the processing policies of Independent Demand.
 </t>
    </r>
    <r>
      <rPr>
        <b/>
        <sz val="11"/>
        <color theme="1"/>
        <rFont val="Calibri"/>
        <family val="2"/>
        <scheme val="minor"/>
      </rPr>
      <t>Reference Syntax</t>
    </r>
    <r>
      <rPr>
        <sz val="11"/>
        <color theme="1"/>
        <rFont val="Calibri"/>
        <family val="2"/>
        <scheme val="minor"/>
      </rPr>
      <t>: Order.Type, Order.Id, Order.Site</t>
    </r>
  </si>
  <si>
    <t>ID_RS_3</t>
  </si>
  <si>
    <t>OrderSite</t>
  </si>
  <si>
    <t xml:space="preserve">1. To be present in the Site master
2. Field should not be blank
</t>
  </si>
  <si>
    <t>ID_RS_4</t>
  </si>
  <si>
    <t>OrderType</t>
  </si>
  <si>
    <t>SalesOrderType</t>
  </si>
  <si>
    <t>ID_RS_5</t>
  </si>
  <si>
    <t>Customer Id</t>
  </si>
  <si>
    <t xml:space="preserve">Customer Id </t>
  </si>
  <si>
    <t>1. Site customer combination to be present in customer master
2. Field should not be blank</t>
  </si>
  <si>
    <t>ID_RS_6</t>
  </si>
  <si>
    <t>DueDate</t>
  </si>
  <si>
    <t>The date the order is scheduled to be completed to stock</t>
  </si>
  <si>
    <t>SALESORDERSCHEDULELINE</t>
  </si>
  <si>
    <t>RequestedDeliveryDate, ConfirmedDeliveryDate</t>
  </si>
  <si>
    <t>ID_RS_7</t>
  </si>
  <si>
    <t>This field specifies the number of ExpiryCalendar intervals that are
added to the demand’s DueDate when calculating its
EarliestExpiryDate. The EarliestExpiryDate is the date before
which supplies must not expire if they are to be allocated to
the demand. For example, if the DueDate is July 1 2009,
 ExpiryCalendar is set to “Everyday”, and this value is set to “21”, then the EarliestExpiryDate would be set to July 22, 2009 (that is, any supply expiring before July 22, 2009 cannot be used to satisfy the demand</t>
  </si>
  <si>
    <t>ID_RS_8</t>
  </si>
  <si>
    <t>The priority associated with this demand.</t>
  </si>
  <si>
    <t>ID_RS_9</t>
  </si>
  <si>
    <t>PartName</t>
  </si>
  <si>
    <t>Part for which the IndependentDemand exists.</t>
  </si>
  <si>
    <t>1.Part site combination to be present in the Part master
2. Field should not be blank</t>
  </si>
  <si>
    <t>ID_RS_10</t>
  </si>
  <si>
    <t>PartSite</t>
  </si>
  <si>
    <t>Part Site for which the independent Demand exists</t>
  </si>
  <si>
    <t>1. Site to be present in the Site master
2.Field should not be blank</t>
  </si>
  <si>
    <t>ID_RS_11</t>
  </si>
  <si>
    <t>Quantity</t>
  </si>
  <si>
    <t>The amount still to be delivered. Demands with negative
quantities are ignored.</t>
  </si>
  <si>
    <t>ScheduleLineOrderQuantity</t>
  </si>
  <si>
    <t>ID_RS_12</t>
  </si>
  <si>
    <t>The unit price for this line item. A negative value is a flag to
calculate the unit selling price using the Quantity and the
AverageSellingPrice</t>
  </si>
  <si>
    <t>NetPrice</t>
  </si>
  <si>
    <t>ID_RS_13</t>
  </si>
  <si>
    <t>Status</t>
  </si>
  <si>
    <t>Lisfe cycle of Sales Order. SalesOrder, OutboutDelivery.</t>
  </si>
  <si>
    <t>SDPROCESSSTATUS</t>
  </si>
  <si>
    <t>ID_RS_14</t>
  </si>
  <si>
    <t>Pool</t>
  </si>
  <si>
    <t>The pool that this order belong to. Use the default pool (Unpooled pool) if no pool is associated with this order. This is for PSAI special scenario</t>
  </si>
  <si>
    <t>Can I remove 8 and 14?</t>
  </si>
  <si>
    <r>
      <rPr>
        <b/>
        <sz val="11"/>
        <color theme="1"/>
        <rFont val="Calibri"/>
        <family val="2"/>
        <scheme val="minor"/>
      </rPr>
      <t>Table Description</t>
    </r>
    <r>
      <rPr>
        <sz val="11"/>
        <color theme="1"/>
        <rFont val="Calibri"/>
        <family val="2"/>
        <scheme val="minor"/>
      </rPr>
      <t>: This table contains demand data related to historical actual customer shipments on a given date. It might also contain other types of historical actual demand data including consumption of inventory by a customer or point of sale data from a customer</t>
    </r>
  </si>
  <si>
    <t>Interface: HistoricalDemandActuals</t>
  </si>
  <si>
    <r>
      <rPr>
        <b/>
        <sz val="11"/>
        <color theme="1"/>
        <rFont val="Calibri"/>
        <family val="2"/>
        <scheme val="minor"/>
      </rPr>
      <t>Interface Description:</t>
    </r>
    <r>
      <rPr>
        <sz val="11"/>
        <color theme="1"/>
        <rFont val="Calibri"/>
        <family val="2"/>
        <scheme val="minor"/>
      </rPr>
      <t xml:space="preserve"> This table contains demand data related to historical actual customer shipments on a given date. It might also contain other types of historical actual demand data including consumption of inventory by a customer or point of sale data from a customer</t>
    </r>
  </si>
  <si>
    <t>HDA_RS_1</t>
  </si>
  <si>
    <t>Part Name</t>
  </si>
  <si>
    <t>SKU, Material Name</t>
  </si>
  <si>
    <t>BILLINGDOCUMENTITEM</t>
  </si>
  <si>
    <t>MATERIAL</t>
  </si>
  <si>
    <t>HDA_RS_2</t>
  </si>
  <si>
    <t>MFL / DC / Plant</t>
  </si>
  <si>
    <t>HDA_RS_3</t>
  </si>
  <si>
    <t>Customer ID</t>
  </si>
  <si>
    <t>BILLINGDOCUMENT</t>
  </si>
  <si>
    <t>SOLDTOPARTY</t>
  </si>
  <si>
    <t>HDA_RS_4</t>
  </si>
  <si>
    <t>Date</t>
  </si>
  <si>
    <t>Month of Sales</t>
  </si>
  <si>
    <t>BILLINGDOCUMENTDATE</t>
  </si>
  <si>
    <t>1. Field should follow the format : 
YYYYMMDD
2. Field should not be blank</t>
  </si>
  <si>
    <t>Any of these in Rulesets?</t>
  </si>
  <si>
    <t>Interface: HDA(SecondarySales)</t>
  </si>
  <si>
    <t>Interface Description: This table contains demand data related to historical actual customer shipments on a given date. It might also contain other types of historical actual demand data including consumption of inventory by a customer or point of sale data from a customer</t>
  </si>
  <si>
    <t>HDAS_RS_1</t>
  </si>
  <si>
    <t>HDAS_RS_2</t>
  </si>
  <si>
    <t>HDAS_RS_3</t>
  </si>
  <si>
    <t>BILLINGDOCUMENTHEADER</t>
  </si>
  <si>
    <t>HDAS_RS_4</t>
  </si>
  <si>
    <r>
      <rPr>
        <b/>
        <sz val="12"/>
        <color theme="1"/>
        <rFont val="Calibri"/>
        <family val="2"/>
        <scheme val="minor"/>
      </rPr>
      <t>Table Description</t>
    </r>
    <r>
      <rPr>
        <sz val="12"/>
        <color theme="1"/>
        <rFont val="Calibri"/>
        <family val="2"/>
        <scheme val="minor"/>
      </rPr>
      <t>: The ProductHierarchy1 table stores hierarchy definitions that can be defined at a global level for a part.</t>
    </r>
  </si>
  <si>
    <t>Interface: ProductHierarchy</t>
  </si>
  <si>
    <r>
      <rPr>
        <b/>
        <sz val="11"/>
        <color theme="1"/>
        <rFont val="Calibri"/>
        <family val="2"/>
        <scheme val="minor"/>
      </rPr>
      <t>Interface Description:</t>
    </r>
    <r>
      <rPr>
        <sz val="11"/>
        <color theme="1"/>
        <rFont val="Calibri"/>
        <family val="2"/>
        <scheme val="minor"/>
      </rPr>
      <t xml:space="preserve"> The ProductHierarchy1 table stores hierarchy definitions that can be defined at a global level for a part.</t>
    </r>
  </si>
  <si>
    <t>PH_RS_1</t>
  </si>
  <si>
    <t>Part Name (SAP Code)</t>
  </si>
  <si>
    <t>1.For All materials(With Material Type: FERT/HAWA) - Field should not be blank</t>
  </si>
  <si>
    <t>Other than FERT/HAWA-Material type, Material group will be present</t>
  </si>
  <si>
    <t>PH_RS_2</t>
  </si>
  <si>
    <t>Part Description</t>
  </si>
  <si>
    <t>productdescription</t>
  </si>
  <si>
    <t>PH_RS_3</t>
  </si>
  <si>
    <t>product</t>
  </si>
  <si>
    <t>productgroup</t>
  </si>
  <si>
    <t>PH_RS_4</t>
  </si>
  <si>
    <t>PRODUCTGROUPDESC</t>
  </si>
  <si>
    <t>matlGRPDESC</t>
  </si>
  <si>
    <t>PH_RS_5</t>
  </si>
  <si>
    <t>Division ID</t>
  </si>
  <si>
    <t>prODUCT</t>
  </si>
  <si>
    <t>PH_RS_6</t>
  </si>
  <si>
    <t>Division Name</t>
  </si>
  <si>
    <t>PRODUCT_DIVISION_DESC</t>
  </si>
  <si>
    <t>name</t>
  </si>
  <si>
    <t>PH_RS_7</t>
  </si>
  <si>
    <t>Category ID</t>
  </si>
  <si>
    <t>SALES_DM_BR.PRODUCT_HIERARCHY</t>
  </si>
  <si>
    <t>PRD_HIER_LVL2</t>
  </si>
  <si>
    <t>PH_RS_8</t>
  </si>
  <si>
    <t>Category Description</t>
  </si>
  <si>
    <t>P_HIER_LVL2_CATEGORY</t>
  </si>
  <si>
    <t>PH_RS_9</t>
  </si>
  <si>
    <t>Product ID</t>
  </si>
  <si>
    <t>PRD_HIER_LVL3</t>
  </si>
  <si>
    <t>PH_RS_10</t>
  </si>
  <si>
    <t>Product Name</t>
  </si>
  <si>
    <t>P_HIER_LVL3_PRODUCT</t>
  </si>
  <si>
    <t>PH_RS_11</t>
  </si>
  <si>
    <t>PRD_HIER_LVL4</t>
  </si>
  <si>
    <t>PH_RS_12</t>
  </si>
  <si>
    <t>P_HIER_LVL4_VARIANT</t>
  </si>
  <si>
    <t>PH_RS_13</t>
  </si>
  <si>
    <t>Brand ID</t>
  </si>
  <si>
    <t>PRD_HIER_LVL5</t>
  </si>
  <si>
    <t>PH_RS_14</t>
  </si>
  <si>
    <t>Brand Name</t>
  </si>
  <si>
    <t>P_HIER_LVL5_BRAND</t>
  </si>
  <si>
    <t>PH_RS_15</t>
  </si>
  <si>
    <t>Sub Brand ID</t>
  </si>
  <si>
    <t>PRD_HIER_LVL6</t>
  </si>
  <si>
    <t>PH_RS_16</t>
  </si>
  <si>
    <t>Sub Brand Name</t>
  </si>
  <si>
    <t>P_HIER_LVL6_REG_BRND</t>
  </si>
  <si>
    <t>PH_RS_17</t>
  </si>
  <si>
    <t>Brand_variant</t>
  </si>
  <si>
    <t>Brand Variant</t>
  </si>
  <si>
    <t>PRD_HIER_LVL7</t>
  </si>
  <si>
    <t>PH_RS_18</t>
  </si>
  <si>
    <t>Brand_variant Description</t>
  </si>
  <si>
    <t>P_HIER_LVL7_BRND_VAR</t>
  </si>
  <si>
    <t>PH_RS_19</t>
  </si>
  <si>
    <t>Pack Size ID</t>
  </si>
  <si>
    <t>PRD_HIER_LVL8</t>
  </si>
  <si>
    <t>PH_RS_20</t>
  </si>
  <si>
    <t>Pack_Size Name</t>
  </si>
  <si>
    <t>P_HIER_LVL8_SKU</t>
  </si>
  <si>
    <t>PH_RS_21</t>
  </si>
  <si>
    <t>SKU</t>
  </si>
  <si>
    <t>PRODUCTMAPPING_TCPL_IND</t>
  </si>
  <si>
    <t>p_maTERIAL</t>
  </si>
  <si>
    <t>PH_RS_22</t>
  </si>
  <si>
    <t>Market SKU Description</t>
  </si>
  <si>
    <t>SKU Description</t>
  </si>
  <si>
    <t>PH_RS_23</t>
  </si>
  <si>
    <t>Supply_FAMILY</t>
  </si>
  <si>
    <t>PH_RS_24</t>
  </si>
  <si>
    <t>MATERIALTYPE</t>
  </si>
  <si>
    <t>1. Field should be FERT/HAWA
2. Field should not be blank</t>
  </si>
  <si>
    <t>PH_RS_25</t>
  </si>
  <si>
    <r>
      <rPr>
        <b/>
        <sz val="11"/>
        <color theme="1"/>
        <rFont val="Calibri"/>
        <family val="2"/>
        <scheme val="minor"/>
      </rPr>
      <t xml:space="preserve">Table Description: </t>
    </r>
    <r>
      <rPr>
        <sz val="11"/>
        <color theme="1"/>
        <rFont val="Calibri"/>
        <family val="2"/>
        <scheme val="minor"/>
      </rPr>
      <t xml:space="preserve"> This table holds name of any commonly used calendars that might be required to support an organizations manufacturing and relative activities. For examples, Workday and Weekly calendars would be seen in most installations. In addition to the calendars defined here, there is
an implicit Gregorian (everyday) calendar.</t>
    </r>
  </si>
  <si>
    <t>Source Table</t>
  </si>
  <si>
    <t>Source Field</t>
  </si>
  <si>
    <t>PlanningOnly</t>
  </si>
  <si>
    <r>
      <rPr>
        <b/>
        <sz val="11"/>
        <color theme="1"/>
        <rFont val="Calibri"/>
        <family val="2"/>
        <scheme val="minor"/>
      </rPr>
      <t xml:space="preserve">Table Description: </t>
    </r>
    <r>
      <rPr>
        <sz val="11"/>
        <color theme="1"/>
        <rFont val="Calibri"/>
        <family val="2"/>
        <scheme val="minor"/>
      </rPr>
      <t xml:space="preserve"> This table contains actual date values along with references to the named calendar each belongs to. Thus, a given date might be defined on multiple records in this table with each record pointing to a different value in the Calendar table. For example, a given date might belong to both a Workday, Monday, and Weekly calendar.</t>
    </r>
  </si>
  <si>
    <t>Calendar.Value</t>
  </si>
  <si>
    <t>DisplayValue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</si>
</sst>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b/>
      <sz val="11"/>
      <color theme="1"/>
      <name val="Calibri"/>
      <family val="2"/>
      <scheme val="minor"/>
    </font>
    <font>
      <sz val="10"/>
      <color theme="1"/>
      <name val="Calibri"/>
      <family val="2"/>
      <scheme val="minor"/>
    </font>
    <font>
      <u/>
      <sz val="11"/>
      <color theme="10"/>
      <name val="Calibri"/>
      <family val="2"/>
      <scheme val="minor"/>
    </font>
    <font>
      <sz val="11"/>
      <color rgb="FFFF0000"/>
      <name val="Calibri"/>
      <family val="2"/>
      <scheme val="minor"/>
    </font>
    <font>
      <sz val="11"/>
      <name val="Calibri"/>
      <family val="2"/>
      <scheme val="minor"/>
    </font>
    <font>
      <sz val="11"/>
      <color rgb="FF000000"/>
      <name val="Calibri"/>
      <family val="2"/>
      <scheme val="minor"/>
    </font>
    <font>
      <strike/>
      <sz val="11"/>
      <color theme="1"/>
      <name val="Calibri"/>
      <family val="2"/>
      <scheme val="minor"/>
    </font>
    <font>
      <sz val="11"/>
      <color rgb="FF000000"/>
      <name val="Calibri"/>
      <family val="2"/>
    </font>
    <font>
      <sz val="12"/>
      <color theme="1"/>
      <name val="Calibri"/>
      <family val="2"/>
      <scheme val="minor"/>
    </font>
    <font>
      <b/>
      <sz val="12"/>
      <color theme="1"/>
      <name val="Calibri"/>
      <family val="2"/>
      <scheme val="minor"/>
    </font>
    <font>
      <b/>
      <u/>
      <sz val="16"/>
      <color theme="10"/>
      <name val="Calibri"/>
      <family val="2"/>
      <scheme val="minor"/>
    </font>
    <font>
      <b/>
      <u/>
      <sz val="18"/>
      <color theme="10"/>
      <name val="Calibri"/>
      <family val="2"/>
      <scheme val="minor"/>
    </font>
    <font>
      <strike/>
      <sz val="11"/>
      <color rgb="FF000000"/>
      <name val="Calibri"/>
      <family val="2"/>
      <scheme val="minor"/>
    </font>
    <font>
      <sz val="10"/>
      <color rgb="FF000000"/>
      <name val="Consolas"/>
      <family val="3"/>
    </font>
    <font>
      <b/>
      <sz val="10"/>
      <color theme="1"/>
      <name val="Calibri"/>
      <family val="2"/>
      <scheme val="minor"/>
    </font>
    <font>
      <sz val="10"/>
      <color rgb="FF000000"/>
      <name val="Courier New"/>
      <family val="3"/>
    </font>
    <font>
      <sz val="8"/>
      <name val="Calibri"/>
      <family val="2"/>
      <scheme val="minor"/>
    </font>
    <font>
      <sz val="12"/>
      <color rgb="FF000000"/>
      <name val="Calibri"/>
      <family val="2"/>
    </font>
    <font>
      <b/>
      <sz val="11"/>
      <color rgb="FF000000"/>
      <name val="Calibri"/>
      <family val="2"/>
      <scheme val="minor"/>
    </font>
    <font>
      <sz val="11"/>
      <color rgb="FF000000"/>
      <name val="Aptos Narrow"/>
      <family val="2"/>
    </font>
  </fonts>
  <fills count="15">
    <fill>
      <patternFill patternType="none"/>
    </fill>
    <fill>
      <patternFill patternType="gray125"/>
    </fill>
    <fill>
      <patternFill patternType="solid">
        <fgColor theme="4" tint="0.39997558519241921"/>
        <bgColor indexed="64"/>
      </patternFill>
    </fill>
    <fill>
      <patternFill patternType="solid">
        <fgColor theme="4" tint="0.79998168889431442"/>
        <bgColor indexed="64"/>
      </patternFill>
    </fill>
    <fill>
      <patternFill patternType="solid">
        <fgColor rgb="FFFFFF00"/>
        <bgColor indexed="64"/>
      </patternFill>
    </fill>
    <fill>
      <patternFill patternType="solid">
        <fgColor theme="0"/>
        <bgColor indexed="64"/>
      </patternFill>
    </fill>
    <fill>
      <patternFill patternType="solid">
        <fgColor theme="2" tint="-9.9978637043366805E-2"/>
        <bgColor indexed="64"/>
      </patternFill>
    </fill>
    <fill>
      <patternFill patternType="solid">
        <fgColor rgb="FF00B050"/>
        <bgColor indexed="64"/>
      </patternFill>
    </fill>
    <fill>
      <patternFill patternType="solid">
        <fgColor rgb="FFFFC000"/>
        <bgColor indexed="64"/>
      </patternFill>
    </fill>
    <fill>
      <patternFill patternType="solid">
        <fgColor rgb="FFFF0000"/>
        <bgColor indexed="64"/>
      </patternFill>
    </fill>
    <fill>
      <patternFill patternType="solid">
        <fgColor theme="0" tint="-4.9989318521683403E-2"/>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theme="5"/>
        <bgColor indexed="64"/>
      </patternFill>
    </fill>
    <fill>
      <patternFill patternType="solid">
        <fgColor rgb="FFFFC000"/>
        <bgColor rgb="FF000000"/>
      </patternFill>
    </fill>
  </fills>
  <borders count="2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thin">
        <color rgb="FF000000"/>
      </left>
      <right style="thin">
        <color rgb="FF000000"/>
      </right>
      <top style="thin">
        <color rgb="FF000000"/>
      </top>
      <bottom style="thin">
        <color rgb="FF000000"/>
      </bottom>
      <diagonal/>
    </border>
    <border>
      <left style="thin">
        <color indexed="64"/>
      </left>
      <right/>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style="thin">
        <color indexed="64"/>
      </top>
      <bottom style="thin">
        <color rgb="FF000000"/>
      </bottom>
      <diagonal/>
    </border>
    <border>
      <left/>
      <right/>
      <top style="thin">
        <color indexed="64"/>
      </top>
      <bottom style="thin">
        <color rgb="FF000000"/>
      </bottom>
      <diagonal/>
    </border>
    <border>
      <left/>
      <right style="thin">
        <color indexed="64"/>
      </right>
      <top style="thin">
        <color indexed="64"/>
      </top>
      <bottom style="thin">
        <color rgb="FF000000"/>
      </bottom>
      <diagonal/>
    </border>
    <border>
      <left style="thin">
        <color rgb="FF000000"/>
      </left>
      <right style="thin">
        <color rgb="FF000000"/>
      </right>
      <top style="thin">
        <color rgb="FF000000"/>
      </top>
      <bottom/>
      <diagonal/>
    </border>
    <border>
      <left style="thin">
        <color indexed="64"/>
      </left>
      <right style="thin">
        <color rgb="FF000000"/>
      </right>
      <top style="thin">
        <color rgb="FF000000"/>
      </top>
      <bottom style="thin">
        <color rgb="FF000000"/>
      </bottom>
      <diagonal/>
    </border>
  </borders>
  <cellStyleXfs count="2">
    <xf numFmtId="0" fontId="0" fillId="0" borderId="0"/>
    <xf numFmtId="0" fontId="3" fillId="0" borderId="0" applyNumberFormat="0" applyFill="0" applyBorder="0" applyAlignment="0" applyProtection="0"/>
  </cellStyleXfs>
  <cellXfs count="207">
    <xf numFmtId="0" fontId="0" fillId="0" borderId="0" xfId="0"/>
    <xf numFmtId="0" fontId="0" fillId="0" borderId="0" xfId="0" applyAlignment="1">
      <alignment wrapText="1"/>
    </xf>
    <xf numFmtId="0" fontId="0" fillId="0" borderId="1" xfId="0" applyBorder="1" applyAlignment="1">
      <alignment wrapText="1"/>
    </xf>
    <xf numFmtId="0" fontId="0" fillId="0" borderId="1" xfId="0" applyBorder="1"/>
    <xf numFmtId="0" fontId="1" fillId="0" borderId="1" xfId="0" applyFont="1" applyBorder="1"/>
    <xf numFmtId="0" fontId="0" fillId="0" borderId="5" xfId="0" applyBorder="1"/>
    <xf numFmtId="0" fontId="0" fillId="0" borderId="1" xfId="0" applyBorder="1" applyAlignment="1">
      <alignment vertical="center"/>
    </xf>
    <xf numFmtId="0" fontId="0" fillId="0" borderId="4" xfId="0" applyBorder="1"/>
    <xf numFmtId="0" fontId="0" fillId="0" borderId="1" xfId="0" applyBorder="1" applyAlignment="1">
      <alignment vertical="center" wrapText="1"/>
    </xf>
    <xf numFmtId="0" fontId="4" fillId="0" borderId="1" xfId="0" applyFont="1" applyBorder="1" applyAlignment="1">
      <alignment wrapText="1"/>
    </xf>
    <xf numFmtId="0" fontId="5" fillId="0" borderId="1" xfId="0" applyFont="1"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1" xfId="0" applyBorder="1" applyAlignment="1">
      <alignment horizontal="center" vertical="center"/>
    </xf>
    <xf numFmtId="0" fontId="6" fillId="0" borderId="1" xfId="0" applyFont="1" applyBorder="1"/>
    <xf numFmtId="0" fontId="6" fillId="0" borderId="1" xfId="0" applyFont="1" applyBorder="1" applyAlignment="1">
      <alignment wrapText="1"/>
    </xf>
    <xf numFmtId="0" fontId="5" fillId="0" borderId="1" xfId="0" applyFont="1" applyBorder="1" applyAlignment="1">
      <alignment wrapText="1"/>
    </xf>
    <xf numFmtId="0" fontId="7" fillId="0" borderId="1" xfId="0" applyFont="1" applyBorder="1"/>
    <xf numFmtId="0" fontId="0" fillId="0" borderId="8" xfId="0" applyBorder="1"/>
    <xf numFmtId="0" fontId="0" fillId="0" borderId="20" xfId="0" applyBorder="1"/>
    <xf numFmtId="0" fontId="0" fillId="0" borderId="1" xfId="0" applyBorder="1" applyAlignment="1">
      <alignment horizontal="left" vertical="center"/>
    </xf>
    <xf numFmtId="0" fontId="6" fillId="0" borderId="1" xfId="0" applyFont="1" applyBorder="1" applyAlignment="1">
      <alignment vertical="center" wrapText="1"/>
    </xf>
    <xf numFmtId="0" fontId="0" fillId="0" borderId="1" xfId="0" applyBorder="1" applyAlignment="1">
      <alignment horizontal="left" vertical="center" wrapText="1"/>
    </xf>
    <xf numFmtId="0" fontId="0" fillId="0" borderId="6" xfId="0" applyBorder="1"/>
    <xf numFmtId="0" fontId="0" fillId="0" borderId="1" xfId="0" applyBorder="1" applyAlignment="1">
      <alignment horizontal="left"/>
    </xf>
    <xf numFmtId="0" fontId="0" fillId="3" borderId="7" xfId="0" applyFill="1" applyBorder="1" applyAlignment="1">
      <alignment horizontal="center" wrapText="1"/>
    </xf>
    <xf numFmtId="0" fontId="10" fillId="2" borderId="1" xfId="0" applyFont="1" applyFill="1" applyBorder="1" applyAlignment="1">
      <alignment vertical="center" wrapText="1"/>
    </xf>
    <xf numFmtId="0" fontId="11" fillId="0" borderId="0" xfId="1" applyFont="1"/>
    <xf numFmtId="0" fontId="12" fillId="0" borderId="0" xfId="1" applyFont="1"/>
    <xf numFmtId="0" fontId="1" fillId="2" borderId="22" xfId="0" applyFont="1" applyFill="1" applyBorder="1" applyAlignment="1">
      <alignment vertical="center" wrapText="1"/>
    </xf>
    <xf numFmtId="0" fontId="1" fillId="2" borderId="6" xfId="0" applyFont="1" applyFill="1" applyBorder="1" applyAlignment="1">
      <alignment vertical="center" wrapText="1"/>
    </xf>
    <xf numFmtId="0" fontId="0" fillId="0" borderId="8" xfId="0" applyBorder="1" applyAlignment="1">
      <alignment vertical="center"/>
    </xf>
    <xf numFmtId="0" fontId="1" fillId="2" borderId="1" xfId="0" applyFont="1" applyFill="1" applyBorder="1" applyAlignment="1">
      <alignment vertical="center" wrapText="1"/>
    </xf>
    <xf numFmtId="0" fontId="0" fillId="0" borderId="0" xfId="0" applyAlignment="1">
      <alignment vertical="center"/>
    </xf>
    <xf numFmtId="0" fontId="12" fillId="0" borderId="0" xfId="1" applyFont="1" applyFill="1"/>
    <xf numFmtId="0" fontId="12" fillId="0" borderId="0" xfId="1" applyFont="1" applyAlignment="1">
      <alignment vertical="center"/>
    </xf>
    <xf numFmtId="0" fontId="10" fillId="2" borderId="22" xfId="0" applyFont="1" applyFill="1" applyBorder="1" applyAlignment="1">
      <alignment vertical="center" wrapText="1"/>
    </xf>
    <xf numFmtId="0" fontId="10" fillId="2" borderId="6" xfId="0" applyFont="1" applyFill="1" applyBorder="1" applyAlignment="1">
      <alignment vertical="center" wrapText="1"/>
    </xf>
    <xf numFmtId="0" fontId="9" fillId="0" borderId="0" xfId="0" applyFont="1" applyAlignment="1">
      <alignment vertical="center"/>
    </xf>
    <xf numFmtId="0" fontId="10" fillId="2" borderId="1" xfId="0" applyFont="1" applyFill="1" applyBorder="1" applyAlignment="1">
      <alignment horizontal="left" vertical="center" wrapText="1"/>
    </xf>
    <xf numFmtId="0" fontId="0" fillId="6" borderId="1" xfId="0" applyFill="1" applyBorder="1"/>
    <xf numFmtId="0" fontId="0" fillId="5" borderId="1" xfId="0" applyFill="1" applyBorder="1"/>
    <xf numFmtId="0" fontId="0" fillId="5" borderId="8" xfId="0" applyFill="1" applyBorder="1"/>
    <xf numFmtId="0" fontId="0" fillId="5" borderId="1" xfId="0" applyFill="1" applyBorder="1" applyAlignment="1">
      <alignment wrapText="1"/>
    </xf>
    <xf numFmtId="0" fontId="10" fillId="4" borderId="1" xfId="0" applyFont="1" applyFill="1" applyBorder="1" applyAlignment="1">
      <alignment vertical="center" wrapText="1"/>
    </xf>
    <xf numFmtId="0" fontId="10" fillId="7" borderId="1" xfId="0" applyFont="1" applyFill="1" applyBorder="1" applyAlignment="1">
      <alignment vertical="center" wrapText="1"/>
    </xf>
    <xf numFmtId="0" fontId="1" fillId="0" borderId="1" xfId="0" applyFont="1" applyBorder="1" applyAlignment="1">
      <alignment horizontal="center"/>
    </xf>
    <xf numFmtId="0" fontId="0" fillId="3" borderId="7" xfId="0" applyFill="1" applyBorder="1" applyAlignment="1">
      <alignment horizontal="center" vertical="center" wrapText="1"/>
    </xf>
    <xf numFmtId="0" fontId="0" fillId="3" borderId="7" xfId="0" applyFill="1" applyBorder="1" applyAlignment="1">
      <alignment horizontal="left" vertical="center"/>
    </xf>
    <xf numFmtId="0" fontId="0" fillId="3" borderId="21" xfId="0" applyFill="1" applyBorder="1" applyAlignment="1">
      <alignment horizontal="center" vertical="center"/>
    </xf>
    <xf numFmtId="0" fontId="0" fillId="3" borderId="7" xfId="0" applyFill="1" applyBorder="1" applyAlignment="1">
      <alignment horizontal="center" vertical="center"/>
    </xf>
    <xf numFmtId="0" fontId="0" fillId="3" borderId="0" xfId="0" applyFill="1" applyAlignment="1">
      <alignment horizontal="left" wrapText="1"/>
    </xf>
    <xf numFmtId="0" fontId="1" fillId="0" borderId="1" xfId="0" applyFont="1" applyBorder="1" applyAlignment="1">
      <alignment horizontal="center" wrapText="1"/>
    </xf>
    <xf numFmtId="0" fontId="10" fillId="4" borderId="1" xfId="0" applyFont="1" applyFill="1" applyBorder="1" applyAlignment="1">
      <alignment horizontal="left" vertical="center" wrapText="1"/>
    </xf>
    <xf numFmtId="0" fontId="5" fillId="0" borderId="1" xfId="0" applyFont="1" applyBorder="1" applyAlignment="1">
      <alignment horizontal="left" vertical="center" wrapText="1"/>
    </xf>
    <xf numFmtId="0" fontId="8" fillId="0" borderId="1" xfId="0" applyFont="1" applyBorder="1"/>
    <xf numFmtId="0" fontId="1" fillId="0" borderId="1" xfId="0" applyFont="1" applyBorder="1" applyAlignment="1">
      <alignment horizontal="center" vertical="center"/>
    </xf>
    <xf numFmtId="0" fontId="5" fillId="0" borderId="1" xfId="0" applyFont="1" applyBorder="1" applyAlignment="1">
      <alignment vertical="center" wrapText="1"/>
    </xf>
    <xf numFmtId="0" fontId="0" fillId="0" borderId="2" xfId="0" applyBorder="1" applyAlignment="1">
      <alignment vertical="center"/>
    </xf>
    <xf numFmtId="0" fontId="14" fillId="0" borderId="0" xfId="0" applyFont="1"/>
    <xf numFmtId="0" fontId="1" fillId="0" borderId="5" xfId="0" applyFont="1" applyBorder="1" applyAlignment="1">
      <alignment horizontal="center"/>
    </xf>
    <xf numFmtId="0" fontId="4" fillId="0" borderId="1" xfId="0" applyFont="1" applyBorder="1" applyAlignment="1">
      <alignment vertical="center" wrapText="1"/>
    </xf>
    <xf numFmtId="0" fontId="2" fillId="0" borderId="0" xfId="0" applyFont="1"/>
    <xf numFmtId="0" fontId="10" fillId="7" borderId="27" xfId="0" applyFont="1" applyFill="1" applyBorder="1" applyAlignment="1">
      <alignment vertical="center"/>
    </xf>
    <xf numFmtId="0" fontId="0" fillId="0" borderId="18" xfId="0" applyBorder="1" applyAlignment="1">
      <alignment vertical="center"/>
    </xf>
    <xf numFmtId="0" fontId="14" fillId="0" borderId="18" xfId="0" applyFont="1" applyBorder="1" applyAlignment="1">
      <alignment vertical="center"/>
    </xf>
    <xf numFmtId="0" fontId="15" fillId="7" borderId="1" xfId="0" applyFont="1" applyFill="1" applyBorder="1" applyAlignment="1">
      <alignment vertical="center"/>
    </xf>
    <xf numFmtId="0" fontId="0" fillId="0" borderId="0" xfId="0" applyAlignment="1">
      <alignment horizontal="left" vertical="center"/>
    </xf>
    <xf numFmtId="0" fontId="0" fillId="0" borderId="0" xfId="0" applyAlignment="1">
      <alignment horizontal="center" vertical="center"/>
    </xf>
    <xf numFmtId="0" fontId="0" fillId="0" borderId="0" xfId="0" applyAlignment="1">
      <alignment horizontal="center"/>
    </xf>
    <xf numFmtId="0" fontId="0" fillId="0" borderId="1" xfId="0" applyBorder="1" applyAlignment="1">
      <alignment horizontal="center" vertical="center" wrapText="1"/>
    </xf>
    <xf numFmtId="0" fontId="0" fillId="0" borderId="1" xfId="0" applyBorder="1" applyAlignment="1">
      <alignment horizontal="center"/>
    </xf>
    <xf numFmtId="0" fontId="0" fillId="0" borderId="8" xfId="0" applyBorder="1" applyAlignment="1">
      <alignment vertical="center" wrapText="1"/>
    </xf>
    <xf numFmtId="0" fontId="10" fillId="7" borderId="6" xfId="0" applyFont="1" applyFill="1" applyBorder="1" applyAlignment="1">
      <alignment vertical="center" wrapText="1"/>
    </xf>
    <xf numFmtId="0" fontId="7" fillId="10" borderId="1" xfId="0" applyFont="1" applyFill="1" applyBorder="1"/>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18" fillId="0" borderId="1" xfId="0" applyFont="1" applyBorder="1"/>
    <xf numFmtId="0" fontId="0" fillId="0" borderId="2" xfId="0" applyBorder="1"/>
    <xf numFmtId="0" fontId="0" fillId="11" borderId="0" xfId="0" applyFill="1"/>
    <xf numFmtId="0" fontId="1" fillId="7" borderId="0" xfId="0" applyFont="1" applyFill="1"/>
    <xf numFmtId="0" fontId="0" fillId="12" borderId="0" xfId="0" applyFill="1"/>
    <xf numFmtId="0" fontId="0" fillId="13" borderId="0" xfId="0" applyFill="1"/>
    <xf numFmtId="0" fontId="0" fillId="9" borderId="0" xfId="0" applyFill="1"/>
    <xf numFmtId="0" fontId="0" fillId="0" borderId="28" xfId="0" applyBorder="1"/>
    <xf numFmtId="0" fontId="1" fillId="0" borderId="1" xfId="0" applyFont="1" applyBorder="1" applyAlignment="1">
      <alignment vertical="center"/>
    </xf>
    <xf numFmtId="0" fontId="1" fillId="0" borderId="5" xfId="0" applyFont="1" applyBorder="1" applyAlignment="1">
      <alignment vertical="center"/>
    </xf>
    <xf numFmtId="0" fontId="1" fillId="0" borderId="2" xfId="0" applyFont="1" applyBorder="1" applyAlignment="1">
      <alignment vertical="center"/>
    </xf>
    <xf numFmtId="0" fontId="0" fillId="0" borderId="2" xfId="0" applyBorder="1" applyAlignment="1">
      <alignment horizontal="left" vertical="center"/>
    </xf>
    <xf numFmtId="0" fontId="0" fillId="8" borderId="1" xfId="0" applyFill="1" applyBorder="1"/>
    <xf numFmtId="0" fontId="5" fillId="0" borderId="1" xfId="0" applyFont="1" applyBorder="1" applyAlignment="1">
      <alignment horizontal="center"/>
    </xf>
    <xf numFmtId="0" fontId="7" fillId="10" borderId="1" xfId="0" applyFont="1" applyFill="1" applyBorder="1" applyAlignment="1">
      <alignment horizontal="center"/>
    </xf>
    <xf numFmtId="0" fontId="5" fillId="0" borderId="1" xfId="0" applyFont="1" applyBorder="1" applyAlignment="1">
      <alignment horizontal="center" wrapText="1"/>
    </xf>
    <xf numFmtId="0" fontId="6" fillId="0" borderId="1" xfId="0" applyFont="1" applyBorder="1" applyAlignment="1">
      <alignment horizontal="center" wrapText="1"/>
    </xf>
    <xf numFmtId="0" fontId="6" fillId="0" borderId="1" xfId="0" applyFont="1" applyBorder="1" applyAlignment="1">
      <alignment horizontal="center"/>
    </xf>
    <xf numFmtId="0" fontId="4" fillId="0" borderId="1" xfId="0" applyFont="1" applyBorder="1" applyAlignment="1">
      <alignment vertical="center"/>
    </xf>
    <xf numFmtId="0" fontId="16" fillId="0" borderId="1" xfId="0" applyFont="1" applyBorder="1"/>
    <xf numFmtId="0" fontId="0" fillId="0" borderId="0" xfId="0" applyAlignment="1">
      <alignment horizontal="center" wrapText="1"/>
    </xf>
    <xf numFmtId="0" fontId="1" fillId="0" borderId="0" xfId="0" applyFont="1" applyAlignment="1">
      <alignment horizontal="center"/>
    </xf>
    <xf numFmtId="0" fontId="1" fillId="0" borderId="0" xfId="0" applyFont="1" applyAlignment="1">
      <alignment horizontal="center" wrapText="1"/>
    </xf>
    <xf numFmtId="0" fontId="10" fillId="4" borderId="1" xfId="0" applyFont="1" applyFill="1" applyBorder="1" applyAlignment="1">
      <alignment horizontal="center" vertical="center"/>
    </xf>
    <xf numFmtId="0" fontId="10" fillId="0" borderId="0" xfId="0" applyFont="1"/>
    <xf numFmtId="0" fontId="4" fillId="0" borderId="18" xfId="0" applyFont="1" applyBorder="1" applyAlignment="1">
      <alignment vertical="center"/>
    </xf>
    <xf numFmtId="0" fontId="10" fillId="7" borderId="1" xfId="0" applyFont="1" applyFill="1" applyBorder="1" applyAlignment="1">
      <alignment vertical="center"/>
    </xf>
    <xf numFmtId="0" fontId="6" fillId="0" borderId="1" xfId="0" applyFont="1" applyBorder="1" applyAlignment="1">
      <alignment vertical="center"/>
    </xf>
    <xf numFmtId="0" fontId="6" fillId="14" borderId="1" xfId="0" applyFont="1" applyFill="1" applyBorder="1" applyAlignment="1">
      <alignment vertical="center"/>
    </xf>
    <xf numFmtId="0" fontId="1" fillId="0" borderId="4" xfId="0" applyFont="1" applyBorder="1" applyAlignment="1">
      <alignment horizontal="center"/>
    </xf>
    <xf numFmtId="0" fontId="1" fillId="0" borderId="15" xfId="0" applyFont="1" applyBorder="1" applyAlignment="1">
      <alignment horizontal="center"/>
    </xf>
    <xf numFmtId="0" fontId="1" fillId="0" borderId="8" xfId="0" applyFont="1" applyBorder="1" applyAlignment="1">
      <alignment horizontal="center"/>
    </xf>
    <xf numFmtId="0" fontId="15" fillId="0" borderId="0" xfId="0" applyFont="1"/>
    <xf numFmtId="0" fontId="12" fillId="0" borderId="1" xfId="1" applyFont="1" applyFill="1" applyBorder="1"/>
    <xf numFmtId="0" fontId="0" fillId="3" borderId="1" xfId="0" applyFill="1" applyBorder="1" applyAlignment="1">
      <alignment horizontal="left" wrapText="1"/>
    </xf>
    <xf numFmtId="0" fontId="0" fillId="0" borderId="0" xfId="0" applyAlignment="1">
      <alignment horizontal="left"/>
    </xf>
    <xf numFmtId="0" fontId="4" fillId="0" borderId="0" xfId="0" applyFont="1" applyAlignment="1">
      <alignment wrapText="1"/>
    </xf>
    <xf numFmtId="0" fontId="1" fillId="4" borderId="6" xfId="0" applyFont="1" applyFill="1" applyBorder="1" applyAlignment="1">
      <alignment vertical="center" wrapText="1"/>
    </xf>
    <xf numFmtId="0" fontId="1" fillId="0" borderId="0" xfId="0" applyFont="1"/>
    <xf numFmtId="0" fontId="0" fillId="0" borderId="16" xfId="0" applyBorder="1"/>
    <xf numFmtId="0" fontId="0" fillId="0" borderId="17" xfId="0" applyBorder="1"/>
    <xf numFmtId="0" fontId="0" fillId="5" borderId="1" xfId="0" applyFill="1" applyBorder="1" applyAlignment="1">
      <alignment vertical="center"/>
    </xf>
    <xf numFmtId="0" fontId="4" fillId="0" borderId="1" xfId="0" applyFont="1" applyBorder="1" applyAlignment="1">
      <alignment horizontal="center" vertical="center"/>
    </xf>
    <xf numFmtId="0" fontId="5" fillId="0" borderId="1" xfId="0" applyFont="1" applyBorder="1" applyAlignment="1">
      <alignment vertical="center"/>
    </xf>
    <xf numFmtId="0" fontId="0" fillId="3" borderId="5" xfId="0" applyFill="1" applyBorder="1" applyAlignment="1">
      <alignment horizontal="left" wrapText="1"/>
    </xf>
    <xf numFmtId="0" fontId="0" fillId="0" borderId="5" xfId="0" applyBorder="1" applyAlignment="1">
      <alignment horizontal="center"/>
    </xf>
    <xf numFmtId="0" fontId="1" fillId="0" borderId="1" xfId="0" applyFont="1" applyBorder="1" applyAlignment="1">
      <alignment vertical="center" wrapText="1"/>
    </xf>
    <xf numFmtId="0" fontId="0" fillId="3" borderId="0" xfId="0" applyFill="1" applyAlignment="1">
      <alignment horizontal="center" vertical="center" wrapText="1"/>
    </xf>
    <xf numFmtId="0" fontId="6" fillId="3" borderId="0" xfId="0" applyFont="1" applyFill="1" applyAlignment="1">
      <alignment vertical="center"/>
    </xf>
    <xf numFmtId="0" fontId="14" fillId="0" borderId="1" xfId="0" applyFont="1" applyBorder="1" applyAlignment="1">
      <alignment vertical="center"/>
    </xf>
    <xf numFmtId="0" fontId="10" fillId="4" borderId="20" xfId="0" applyFont="1" applyFill="1" applyBorder="1" applyAlignment="1">
      <alignment horizontal="center" vertical="center"/>
    </xf>
    <xf numFmtId="0" fontId="10" fillId="7" borderId="1" xfId="0" applyFont="1" applyFill="1" applyBorder="1" applyAlignment="1">
      <alignment horizontal="left" vertical="center" wrapText="1"/>
    </xf>
    <xf numFmtId="0" fontId="0" fillId="5" borderId="1" xfId="0" applyFill="1" applyBorder="1" applyAlignment="1">
      <alignment vertical="center" wrapText="1"/>
    </xf>
    <xf numFmtId="0" fontId="12" fillId="0" borderId="0" xfId="1" applyFont="1" applyAlignment="1">
      <alignment wrapText="1"/>
    </xf>
    <xf numFmtId="0" fontId="6" fillId="3" borderId="7" xfId="0" applyFont="1" applyFill="1" applyBorder="1" applyAlignment="1">
      <alignment horizontal="left" vertical="center" wrapText="1"/>
    </xf>
    <xf numFmtId="0" fontId="1" fillId="0" borderId="23" xfId="0" applyFont="1" applyBorder="1" applyAlignment="1">
      <alignment horizontal="center"/>
    </xf>
    <xf numFmtId="0" fontId="1" fillId="0" borderId="3" xfId="0" applyFont="1" applyBorder="1" applyAlignment="1">
      <alignment horizontal="center"/>
    </xf>
    <xf numFmtId="0" fontId="1" fillId="0" borderId="20" xfId="0" applyFont="1" applyBorder="1" applyAlignment="1">
      <alignment horizontal="center"/>
    </xf>
    <xf numFmtId="0" fontId="15" fillId="2" borderId="1" xfId="0" applyFont="1" applyFill="1" applyBorder="1" applyAlignment="1">
      <alignment vertical="center" wrapText="1"/>
    </xf>
    <xf numFmtId="0" fontId="1" fillId="0" borderId="4" xfId="0" applyFont="1" applyBorder="1" applyAlignment="1">
      <alignment horizontal="center" vertical="center"/>
    </xf>
    <xf numFmtId="0" fontId="1" fillId="0" borderId="15" xfId="0" applyFont="1" applyBorder="1" applyAlignment="1">
      <alignment horizontal="center" vertical="center"/>
    </xf>
    <xf numFmtId="0" fontId="0" fillId="3" borderId="19" xfId="0" applyFill="1" applyBorder="1" applyAlignment="1">
      <alignment horizontal="center" vertical="center"/>
    </xf>
    <xf numFmtId="0" fontId="0" fillId="3" borderId="0" xfId="0" applyFill="1" applyAlignment="1">
      <alignment horizontal="center" vertical="center"/>
    </xf>
    <xf numFmtId="0" fontId="1" fillId="0" borderId="23" xfId="0" applyFont="1" applyBorder="1" applyAlignment="1">
      <alignment horizontal="center" vertical="center"/>
    </xf>
    <xf numFmtId="0" fontId="1" fillId="0" borderId="3" xfId="0" applyFont="1" applyBorder="1" applyAlignment="1">
      <alignment horizontal="center" vertical="center"/>
    </xf>
    <xf numFmtId="0" fontId="6" fillId="0" borderId="1" xfId="0" applyFont="1" applyBorder="1" applyAlignment="1">
      <alignment horizontal="left" vertical="center"/>
    </xf>
    <xf numFmtId="0" fontId="5" fillId="0" borderId="1" xfId="0" applyFont="1" applyBorder="1" applyAlignment="1">
      <alignment horizontal="left" wrapText="1"/>
    </xf>
    <xf numFmtId="0" fontId="1" fillId="2" borderId="1" xfId="0" applyFont="1" applyFill="1" applyBorder="1" applyAlignment="1">
      <alignment horizontal="left" vertical="center" wrapText="1"/>
    </xf>
    <xf numFmtId="0" fontId="1" fillId="2" borderId="1" xfId="0" applyFont="1" applyFill="1" applyBorder="1" applyAlignment="1">
      <alignment horizontal="left" vertical="center"/>
    </xf>
    <xf numFmtId="0" fontId="10" fillId="7" borderId="1" xfId="0" applyFont="1" applyFill="1" applyBorder="1" applyAlignment="1">
      <alignment horizontal="left" vertical="center"/>
    </xf>
    <xf numFmtId="0" fontId="10" fillId="4" borderId="8" xfId="0" applyFont="1" applyFill="1" applyBorder="1" applyAlignment="1">
      <alignment horizontal="left" vertical="center" wrapText="1"/>
    </xf>
    <xf numFmtId="0" fontId="9" fillId="3" borderId="0" xfId="0" applyFont="1" applyFill="1" applyAlignment="1">
      <alignment horizontal="center" vertical="center" wrapText="1"/>
    </xf>
    <xf numFmtId="0" fontId="9" fillId="3" borderId="0" xfId="0" applyFont="1" applyFill="1" applyAlignment="1">
      <alignment horizontal="center" vertical="center"/>
    </xf>
    <xf numFmtId="0" fontId="1" fillId="7" borderId="1" xfId="0" applyFont="1" applyFill="1" applyBorder="1" applyAlignment="1">
      <alignment vertical="center" wrapText="1"/>
    </xf>
    <xf numFmtId="0" fontId="8" fillId="0" borderId="1" xfId="0" applyFont="1" applyBorder="1" applyAlignment="1">
      <alignment vertical="center"/>
    </xf>
    <xf numFmtId="0" fontId="16" fillId="0" borderId="1" xfId="0" applyFont="1" applyBorder="1" applyAlignment="1">
      <alignment vertical="center"/>
    </xf>
    <xf numFmtId="0" fontId="1" fillId="0" borderId="8" xfId="0" applyFont="1" applyBorder="1" applyAlignment="1">
      <alignment vertical="center"/>
    </xf>
    <xf numFmtId="0" fontId="4" fillId="0" borderId="0" xfId="0" applyFont="1" applyAlignment="1">
      <alignment vertical="center"/>
    </xf>
    <xf numFmtId="0" fontId="0" fillId="0" borderId="4" xfId="0" applyBorder="1" applyAlignment="1">
      <alignment vertical="center"/>
    </xf>
    <xf numFmtId="0" fontId="0" fillId="0" borderId="5" xfId="0" applyBorder="1" applyAlignment="1">
      <alignment vertical="center"/>
    </xf>
    <xf numFmtId="0" fontId="0" fillId="0" borderId="18" xfId="0" applyBorder="1" applyAlignment="1">
      <alignment horizontal="left" vertical="center" wrapText="1"/>
    </xf>
    <xf numFmtId="0" fontId="0" fillId="0" borderId="18" xfId="0" applyBorder="1" applyAlignment="1">
      <alignment horizontal="center" vertical="center" wrapText="1"/>
    </xf>
    <xf numFmtId="0" fontId="0" fillId="0" borderId="18" xfId="0" applyBorder="1"/>
    <xf numFmtId="0" fontId="20" fillId="0" borderId="3" xfId="0" applyFont="1" applyBorder="1" applyAlignment="1">
      <alignment vertical="center"/>
    </xf>
    <xf numFmtId="0" fontId="0" fillId="0" borderId="5" xfId="0" applyBorder="1" applyAlignment="1">
      <alignment horizontal="left" vertical="center" wrapText="1"/>
    </xf>
    <xf numFmtId="0" fontId="0" fillId="0" borderId="5" xfId="0" applyBorder="1" applyAlignment="1">
      <alignment horizontal="center" vertical="center" wrapText="1"/>
    </xf>
    <xf numFmtId="0" fontId="0" fillId="0" borderId="18" xfId="0" applyBorder="1" applyAlignment="1">
      <alignment wrapText="1"/>
    </xf>
    <xf numFmtId="0" fontId="8" fillId="0" borderId="1" xfId="0" applyFont="1" applyBorder="1" applyAlignment="1">
      <alignment horizontal="center"/>
    </xf>
    <xf numFmtId="0" fontId="18" fillId="0" borderId="1" xfId="0" applyFont="1" applyBorder="1" applyAlignment="1">
      <alignment horizontal="center"/>
    </xf>
    <xf numFmtId="0" fontId="8" fillId="0" borderId="18" xfId="0" applyFont="1" applyBorder="1" applyAlignment="1">
      <alignment vertic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1" fillId="0" borderId="1" xfId="0" applyFont="1" applyBorder="1" applyAlignment="1">
      <alignment horizontal="center"/>
    </xf>
    <xf numFmtId="0" fontId="1" fillId="0" borderId="4" xfId="0" applyFont="1" applyBorder="1" applyAlignment="1">
      <alignment horizontal="center"/>
    </xf>
    <xf numFmtId="0" fontId="1" fillId="0" borderId="15" xfId="0" applyFont="1" applyBorder="1" applyAlignment="1">
      <alignment horizontal="center"/>
    </xf>
    <xf numFmtId="0" fontId="1" fillId="0" borderId="8" xfId="0" applyFont="1" applyBorder="1" applyAlignment="1">
      <alignment horizontal="center"/>
    </xf>
    <xf numFmtId="0" fontId="1" fillId="0" borderId="19" xfId="0" applyFont="1" applyBorder="1" applyAlignment="1">
      <alignment horizontal="center"/>
    </xf>
    <xf numFmtId="0" fontId="1" fillId="0" borderId="0" xfId="0" applyFont="1" applyAlignment="1">
      <alignment horizontal="center"/>
    </xf>
    <xf numFmtId="0" fontId="0" fillId="3" borderId="0" xfId="0" applyFill="1" applyAlignment="1">
      <alignment horizontal="left"/>
    </xf>
    <xf numFmtId="0" fontId="0" fillId="3" borderId="1" xfId="0" applyFill="1" applyBorder="1" applyAlignment="1">
      <alignment horizontal="left" wrapText="1"/>
    </xf>
    <xf numFmtId="0" fontId="1" fillId="0" borderId="1" xfId="0" applyFont="1" applyBorder="1" applyAlignment="1">
      <alignment horizontal="center" vertical="center" wrapText="1"/>
    </xf>
    <xf numFmtId="0" fontId="0" fillId="3" borderId="7" xfId="0" applyFill="1" applyBorder="1" applyAlignment="1">
      <alignment horizontal="center" vertical="center" wrapText="1"/>
    </xf>
    <xf numFmtId="0" fontId="0" fillId="0" borderId="13" xfId="0" applyBorder="1" applyAlignment="1">
      <alignment horizontal="center"/>
    </xf>
    <xf numFmtId="0" fontId="0" fillId="0" borderId="14" xfId="0" applyBorder="1" applyAlignment="1">
      <alignment horizontal="center"/>
    </xf>
    <xf numFmtId="0" fontId="1" fillId="0" borderId="1" xfId="0" applyFont="1" applyBorder="1" applyAlignment="1">
      <alignment horizontal="center" wrapText="1"/>
    </xf>
    <xf numFmtId="0" fontId="0" fillId="0" borderId="1" xfId="0" applyBorder="1" applyAlignment="1">
      <alignment horizontal="center" wrapText="1"/>
    </xf>
    <xf numFmtId="0" fontId="6" fillId="3" borderId="7" xfId="0" applyFont="1" applyFill="1" applyBorder="1" applyAlignment="1">
      <alignment horizontal="left" vertical="center"/>
    </xf>
    <xf numFmtId="0" fontId="0" fillId="3" borderId="7" xfId="0" applyFill="1" applyBorder="1" applyAlignment="1">
      <alignment horizontal="left" vertical="center"/>
    </xf>
    <xf numFmtId="0" fontId="1" fillId="0" borderId="24" xfId="0" applyFont="1" applyBorder="1" applyAlignment="1">
      <alignment horizontal="center" vertical="center"/>
    </xf>
    <xf numFmtId="0" fontId="1" fillId="0" borderId="25" xfId="0" applyFont="1" applyBorder="1" applyAlignment="1">
      <alignment horizontal="center" vertical="center"/>
    </xf>
    <xf numFmtId="0" fontId="1" fillId="0" borderId="26" xfId="0" applyFont="1" applyBorder="1" applyAlignment="1">
      <alignment horizontal="center" vertical="center"/>
    </xf>
    <xf numFmtId="0" fontId="0" fillId="0" borderId="0" xfId="0" applyAlignment="1">
      <alignment horizontal="center"/>
    </xf>
    <xf numFmtId="0" fontId="0" fillId="3" borderId="21" xfId="0" applyFill="1" applyBorder="1" applyAlignment="1">
      <alignment horizontal="center" vertical="center"/>
    </xf>
    <xf numFmtId="0" fontId="0" fillId="3" borderId="7" xfId="0" applyFill="1" applyBorder="1" applyAlignment="1">
      <alignment horizontal="center" vertical="center"/>
    </xf>
    <xf numFmtId="0" fontId="0" fillId="0" borderId="1" xfId="0" applyBorder="1" applyAlignment="1">
      <alignment horizontal="center" vertical="center" wrapText="1"/>
    </xf>
    <xf numFmtId="0" fontId="0" fillId="3" borderId="4" xfId="0" applyFill="1" applyBorder="1" applyAlignment="1">
      <alignment horizontal="center" vertical="center" wrapText="1"/>
    </xf>
    <xf numFmtId="0" fontId="0" fillId="3" borderId="15" xfId="0" applyFill="1" applyBorder="1" applyAlignment="1">
      <alignment horizontal="center" vertical="center" wrapText="1"/>
    </xf>
    <xf numFmtId="0" fontId="1" fillId="0" borderId="4" xfId="0" applyFont="1" applyBorder="1" applyAlignment="1">
      <alignment horizontal="center" vertical="center"/>
    </xf>
    <xf numFmtId="0" fontId="1" fillId="0" borderId="15" xfId="0" applyFont="1" applyBorder="1" applyAlignment="1">
      <alignment horizontal="center" vertical="center"/>
    </xf>
    <xf numFmtId="0" fontId="1" fillId="0" borderId="8" xfId="0" applyFont="1" applyBorder="1" applyAlignment="1">
      <alignment horizontal="center" vertical="center"/>
    </xf>
    <xf numFmtId="0" fontId="0" fillId="0" borderId="4" xfId="0" applyBorder="1" applyAlignment="1">
      <alignment horizontal="center" vertical="center" wrapText="1"/>
    </xf>
    <xf numFmtId="0" fontId="0" fillId="0" borderId="15" xfId="0" applyBorder="1" applyAlignment="1">
      <alignment horizontal="center" vertical="center" wrapText="1"/>
    </xf>
    <xf numFmtId="0" fontId="0" fillId="0" borderId="8" xfId="0" applyBorder="1" applyAlignment="1">
      <alignment horizontal="center" vertical="center" wrapText="1"/>
    </xf>
    <xf numFmtId="0" fontId="9" fillId="3" borderId="4" xfId="0" applyFont="1" applyFill="1" applyBorder="1" applyAlignment="1">
      <alignment horizontal="center" vertical="center" wrapText="1"/>
    </xf>
    <xf numFmtId="0" fontId="9" fillId="3" borderId="15" xfId="0" applyFont="1" applyFill="1" applyBorder="1" applyAlignment="1">
      <alignment horizontal="center" vertical="center"/>
    </xf>
    <xf numFmtId="0" fontId="0" fillId="3" borderId="7" xfId="0" applyFill="1" applyBorder="1" applyAlignment="1">
      <alignment horizontal="center" wrapText="1"/>
    </xf>
  </cellXfs>
  <cellStyles count="2">
    <cellStyle name="Hyperlink" xfId="1" builtinId="8"/>
    <cellStyle name="Normal" xfId="0" builtinId="0"/>
  </cellStyles>
  <dxfs count="82">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bottom style="thin">
          <color indexed="64"/>
        </bottom>
        <vertical/>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theme="1"/>
        <name val="Calibri"/>
        <family val="2"/>
        <scheme val="minor"/>
      </font>
      <fill>
        <patternFill patternType="solid">
          <fgColor indexed="64"/>
          <bgColor theme="4" tint="0.39997558519241921"/>
        </patternFill>
      </fill>
      <alignment horizontal="general" vertical="center" textRotation="0" wrapText="1" indent="0" justifyLastLine="0" shrinkToFit="0" readingOrder="0"/>
      <border diagonalUp="0" diagonalDown="0" outline="0">
        <left style="thin">
          <color indexed="64"/>
        </left>
        <right style="thin">
          <color indexed="64"/>
        </right>
        <top/>
        <bottom/>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theme="4" tint="0.39997558519241921"/>
        </patternFill>
      </fill>
      <alignment horizontal="general" vertical="center" textRotation="0" wrapText="1" indent="0" justifyLastLine="0" shrinkToFit="0" readingOrder="0"/>
      <border diagonalUp="0" diagonalDown="0" outline="0">
        <left style="thin">
          <color indexed="64"/>
        </left>
        <right style="thin">
          <color indexed="64"/>
        </right>
        <top/>
        <bottom/>
      </border>
    </dxf>
    <dxf>
      <alignment vertical="center" textRotation="0" indent="0" justifyLastLine="0" shrinkToFit="0" readingOrder="0"/>
      <border diagonalUp="0" diagonalDown="0" outline="0">
        <left style="thin">
          <color indexed="64"/>
        </left>
        <right/>
        <top style="thin">
          <color indexed="64"/>
        </top>
        <bottom style="thin">
          <color indexed="64"/>
        </bottom>
      </border>
    </dxf>
    <dxf>
      <alignmen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vertical="center" textRotation="0" indent="0" justifyLastLine="0" shrinkToFit="0" readingOrder="0"/>
      <border diagonalUp="0" diagonalDown="0" outline="0">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alignment vertical="center" textRotation="0" indent="0" justifyLastLine="0" shrinkToFit="0" readingOrder="0"/>
    </dxf>
    <dxf>
      <border outline="0">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theme="4" tint="0.39997558519241921"/>
        </patternFill>
      </fill>
      <alignment horizontal="general" vertical="center" textRotation="0" wrapText="1" indent="0" justifyLastLine="0" shrinkToFit="0" readingOrder="0"/>
      <border diagonalUp="0" diagonalDown="0" outline="0">
        <left style="thin">
          <color indexed="64"/>
        </left>
        <right style="thin">
          <color indexed="64"/>
        </right>
        <top/>
        <bottom/>
      </border>
    </dxf>
    <dxf>
      <alignment vertical="center" textRotation="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alignment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family val="2"/>
        <scheme val="minor"/>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family val="2"/>
        <scheme val="minor"/>
      </font>
      <alignment vertical="center" textRotation="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outline="0">
        <left style="thin">
          <color indexed="64"/>
        </left>
        <right style="thin">
          <color indexed="64"/>
        </right>
        <top style="thin">
          <color indexed="64"/>
        </top>
        <bottom style="thin">
          <color indexed="64"/>
        </bottom>
      </border>
    </dxf>
    <dxf>
      <alignment vertical="center" textRotation="0" indent="0" justifyLastLine="0" shrinkToFit="0" readingOrder="0"/>
    </dxf>
    <dxf>
      <border outline="0">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theme="4" tint="0.39997558519241921"/>
        </patternFill>
      </fill>
      <alignment horizontal="left"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alignment vertical="center" textRotation="0" indent="0" justifyLastLine="0" shrinkToFit="0" readingOrder="0"/>
      <border diagonalUp="0" diagonalDown="0" outline="0">
        <left style="thin">
          <color indexed="64"/>
        </left>
        <right/>
        <top style="thin">
          <color indexed="64"/>
        </top>
        <bottom style="thin">
          <color indexed="64"/>
        </bottom>
      </border>
    </dxf>
    <dxf>
      <alignmen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alignment vertical="center" textRotation="0" indent="0" justifyLastLine="0" shrinkToFit="0" readingOrder="0"/>
      <border diagonalUp="0" diagonalDown="0" outline="0">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alignment vertical="center" textRotation="0" indent="0" justifyLastLine="0" shrinkToFit="0" readingOrder="0"/>
    </dxf>
    <dxf>
      <border outline="0">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theme="4" tint="0.39997558519241921"/>
        </patternFill>
      </fill>
      <alignment horizontal="left" vertical="center" textRotation="0" wrapText="0" indent="0" justifyLastLine="0" shrinkToFit="0" readingOrder="0"/>
      <border diagonalUp="0" diagonalDown="0" outline="0">
        <left style="thin">
          <color indexed="64"/>
        </left>
        <right style="thin">
          <color indexed="64"/>
        </right>
        <top/>
        <bottom/>
      </border>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outline="0">
        <top style="thin">
          <color indexed="64"/>
        </top>
      </border>
    </dxf>
    <dxf>
      <border outline="0">
        <left style="thin">
          <color indexed="64"/>
        </left>
        <right style="thin">
          <color indexed="64"/>
        </right>
        <bottom style="thin">
          <color indexed="64"/>
        </bottom>
      </border>
    </dxf>
    <dxf>
      <alignment horizontal="general"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theme="1"/>
        <name val="Calibri"/>
        <family val="2"/>
        <scheme val="minor"/>
      </font>
      <fill>
        <patternFill patternType="solid">
          <fgColor indexed="64"/>
          <bgColor rgb="FF00B050"/>
        </patternFill>
      </fill>
      <alignment horizontal="general"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alignment horizontal="general" vertical="center"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alignment vertical="center" textRotation="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vertical="center" textRotation="0" indent="0" justifyLastLine="0" shrinkToFit="0" readingOrder="0"/>
    </dxf>
    <dxf>
      <border outline="0">
        <bottom style="thin">
          <color indexed="64"/>
        </bottom>
      </border>
    </dxf>
    <dxf>
      <font>
        <b/>
        <i val="0"/>
        <strike val="0"/>
        <condense val="0"/>
        <extend val="0"/>
        <outline val="0"/>
        <shadow val="0"/>
        <u val="none"/>
        <vertAlign val="baseline"/>
        <sz val="10"/>
        <color theme="1"/>
        <name val="Calibri"/>
        <family val="2"/>
        <scheme val="minor"/>
      </font>
      <fill>
        <patternFill patternType="solid">
          <fgColor indexed="64"/>
          <bgColor theme="4" tint="0.39997558519241921"/>
        </patternFill>
      </fill>
      <alignment horizontal="general"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alignment horizontal="general"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alignment horizontal="general" vertical="center" textRotation="0" indent="0" justifyLastLine="0" shrinkToFit="0" readingOrder="0"/>
    </dxf>
    <dxf>
      <font>
        <b/>
        <i val="0"/>
        <strike val="0"/>
        <condense val="0"/>
        <extend val="0"/>
        <outline val="0"/>
        <shadow val="0"/>
        <u val="none"/>
        <vertAlign val="baseline"/>
        <sz val="12"/>
        <color theme="1"/>
        <name val="Calibri"/>
        <family val="2"/>
        <scheme val="minor"/>
      </font>
      <fill>
        <patternFill patternType="solid">
          <fgColor indexed="64"/>
          <bgColor theme="4" tint="0.39997558519241921"/>
        </patternFill>
      </fill>
      <alignment horizontal="left" vertical="center" textRotation="0" wrapText="1" indent="0" justifyLastLine="0" shrinkToFit="0" readingOrder="0"/>
      <border diagonalUp="0" diagonalDown="0" outline="0">
        <left style="thin">
          <color indexed="64"/>
        </left>
        <right style="thin">
          <color indexed="64"/>
        </right>
        <top/>
        <bottom/>
      </border>
    </dxf>
    <dxf>
      <alignment horizontal="general" vertical="center" textRotation="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alignment horizontal="general" vertical="center" textRotation="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outline="0">
        <left style="thin">
          <color indexed="64"/>
        </left>
        <top style="thin">
          <color indexed="64"/>
        </top>
      </border>
    </dxf>
    <dxf>
      <alignment horizontal="general" vertical="center" textRotation="0" indent="0" justifyLastLine="0" shrinkToFit="0" readingOrder="0"/>
    </dxf>
    <dxf>
      <border outline="0">
        <bottom style="thin">
          <color indexed="64"/>
        </bottom>
      </border>
    </dxf>
    <dxf>
      <font>
        <b/>
        <i val="0"/>
        <strike val="0"/>
        <condense val="0"/>
        <extend val="0"/>
        <outline val="0"/>
        <shadow val="0"/>
        <u val="none"/>
        <vertAlign val="baseline"/>
        <sz val="12"/>
        <color theme="1"/>
        <name val="Calibri"/>
        <family val="2"/>
        <scheme val="minor"/>
      </font>
      <fill>
        <patternFill patternType="solid">
          <fgColor indexed="64"/>
          <bgColor theme="4" tint="0.39997558519241921"/>
        </patternFill>
      </fill>
      <alignment horizontal="general"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26" Type="http://schemas.microsoft.com/office/2017/06/relationships/rdRichValueStructure" Target="richData/rdrichvaluestructure.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5" Type="http://schemas.microsoft.com/office/2017/06/relationships/rdRichValueTypes" Target="richData/rdRichValueTyp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22/10/relationships/richValueRel" Target="richData/richValueRel.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 Id="rId27" Type="http://schemas.microsoft.com/office/2017/06/relationships/rdRichValue" Target="richData/rdrichvalue.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9</xdr:col>
      <xdr:colOff>0</xdr:colOff>
      <xdr:row>6</xdr:row>
      <xdr:rowOff>0</xdr:rowOff>
    </xdr:from>
    <xdr:to>
      <xdr:col>33</xdr:col>
      <xdr:colOff>131010</xdr:colOff>
      <xdr:row>6</xdr:row>
      <xdr:rowOff>958900</xdr:rowOff>
    </xdr:to>
    <xdr:pic>
      <xdr:nvPicPr>
        <xdr:cNvPr id="2" name="Picture 1">
          <a:extLst>
            <a:ext uri="{FF2B5EF4-FFF2-40B4-BE49-F238E27FC236}">
              <a16:creationId xmlns:a16="http://schemas.microsoft.com/office/drawing/2014/main" id="{F222D3FC-59CB-4456-85F8-B23E402BE499}"/>
            </a:ext>
          </a:extLst>
        </xdr:cNvPr>
        <xdr:cNvPicPr>
          <a:picLocks noChangeAspect="1"/>
        </xdr:cNvPicPr>
      </xdr:nvPicPr>
      <xdr:blipFill>
        <a:blip xmlns:r="http://schemas.openxmlformats.org/officeDocument/2006/relationships" r:embed="rId1"/>
        <a:stretch>
          <a:fillRect/>
        </a:stretch>
      </xdr:blipFill>
      <xdr:spPr>
        <a:xfrm>
          <a:off x="12446000" y="1657350"/>
          <a:ext cx="16209210" cy="9652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108857</xdr:colOff>
      <xdr:row>14</xdr:row>
      <xdr:rowOff>117929</xdr:rowOff>
    </xdr:from>
    <xdr:to>
      <xdr:col>6</xdr:col>
      <xdr:colOff>2177142</xdr:colOff>
      <xdr:row>25</xdr:row>
      <xdr:rowOff>28251</xdr:rowOff>
    </xdr:to>
    <xdr:pic>
      <xdr:nvPicPr>
        <xdr:cNvPr id="2" name="Picture 1">
          <a:extLst>
            <a:ext uri="{FF2B5EF4-FFF2-40B4-BE49-F238E27FC236}">
              <a16:creationId xmlns:a16="http://schemas.microsoft.com/office/drawing/2014/main" id="{6D638B03-F248-7E12-26CD-B3FE485415DE}"/>
            </a:ext>
          </a:extLst>
        </xdr:cNvPr>
        <xdr:cNvPicPr>
          <a:picLocks noChangeAspect="1"/>
        </xdr:cNvPicPr>
      </xdr:nvPicPr>
      <xdr:blipFill>
        <a:blip xmlns:r="http://schemas.openxmlformats.org/officeDocument/2006/relationships" r:embed="rId1"/>
        <a:stretch>
          <a:fillRect/>
        </a:stretch>
      </xdr:blipFill>
      <xdr:spPr>
        <a:xfrm>
          <a:off x="752928" y="6005286"/>
          <a:ext cx="6077857" cy="1906036"/>
        </a:xfrm>
        <a:prstGeom prst="rect">
          <a:avLst/>
        </a:prstGeom>
      </xdr:spPr>
    </xdr:pic>
    <xdr:clientData/>
  </xdr:twoCellAnchor>
</xdr:wsDr>
</file>

<file path=xl/richData/_rels/richValueRel.xml.rels><?xml version="1.0" encoding="UTF-8" standalone="yes"?>
<Relationships xmlns="http://schemas.openxmlformats.org/package/2006/relationships"><Relationship Id="rId2" Type="http://schemas.openxmlformats.org/officeDocument/2006/relationships/image" Target="../media/image20.png"/><Relationship Id="rId1" Type="http://schemas.openxmlformats.org/officeDocument/2006/relationships/image" Target="../media/image10.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rv>
  <rv s="0">
    <v>1</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CEB2B68-6D66-45C8-B591-6B731C97038B}" name="Table2" displayName="Table2" ref="B6:C11" totalsRowShown="0" headerRowDxfId="81" dataDxfId="79" headerRowBorderDxfId="80" tableBorderDxfId="78">
  <autoFilter ref="B6:C11" xr:uid="{6CEB2B68-6D66-45C8-B591-6B731C97038B}"/>
  <tableColumns count="2">
    <tableColumn id="1" xr3:uid="{DFA72B13-79A0-4E6B-BFE8-9C951CC20DB7}" name="Field Name " dataDxfId="77"/>
    <tableColumn id="2" xr3:uid="{9F731C0F-D202-4E38-8C2E-28879733954C}" name="Description " dataDxfId="76"/>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692D67FE-6B86-4773-B310-AAF276E4FD99}" name="Table9" displayName="Table9" ref="B6:I33" totalsRowShown="0" headerRowDxfId="75" dataDxfId="74" tableBorderDxfId="73">
  <autoFilter ref="B6:I33" xr:uid="{692D67FE-6B86-4773-B310-AAF276E4FD99}"/>
  <tableColumns count="8">
    <tableColumn id="1" xr3:uid="{F790B6CB-8557-415D-A6F4-569281FC0AD2}" name="Field Name " dataDxfId="72"/>
    <tableColumn id="2" xr3:uid="{8683D0D8-1ADD-4327-B625-3F0B12EBEC03}" name="Description " dataDxfId="71"/>
    <tableColumn id="15" xr3:uid="{CCC46F76-B769-472D-A84F-E93BC0CB9F96}" name="Available in Data Lake" dataDxfId="70"/>
    <tableColumn id="16" xr3:uid="{36246F1A-255B-4227-893A-987CD5D8DBB8}" name="Data Lake Table Name" dataDxfId="69"/>
    <tableColumn id="17" xr3:uid="{A6E440E3-A2B7-4BF6-B0BB-078716B3A722}" name="Data Lake Column" dataDxfId="68"/>
    <tableColumn id="28" xr3:uid="{7C5F564C-0E9A-4E1F-A5BE-3BA7CBC1B9BB}" name="Ruleset " dataDxfId="67"/>
    <tableColumn id="3" xr3:uid="{4D02242B-4FC1-4792-9819-1B14A35343CD}" name="Type of Ruleset (Extract/Field)" dataDxfId="66"/>
    <tableColumn id="30" xr3:uid="{B414F293-A619-4BBE-A4B0-F7CA1343617C}" name="Remarks" dataDxfId="65"/>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CEF90194-F366-4143-BE58-1D69A4E9DB9E}" name="Table21" displayName="Table21" ref="B7:C11" totalsRowShown="0" headerRowDxfId="64" dataDxfId="62" headerRowBorderDxfId="63" tableBorderDxfId="61" totalsRowBorderDxfId="60">
  <autoFilter ref="B7:C11" xr:uid="{CEF90194-F366-4143-BE58-1D69A4E9DB9E}"/>
  <tableColumns count="2">
    <tableColumn id="1" xr3:uid="{A784E209-C2E4-4FA2-8B12-8CBA6AAA6ED8}" name="Field Name " dataDxfId="59"/>
    <tableColumn id="2" xr3:uid="{43EA04DA-5DE7-4E75-A042-A3FA146E0623}" name="Description " dataDxfId="58"/>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10F78BC5-A04E-43AD-B328-A5E2F4154FDB}" name="Table23" displayName="Table23" ref="B7:F21" totalsRowShown="0" headerRowDxfId="57" dataDxfId="55" headerRowBorderDxfId="56" tableBorderDxfId="54" totalsRowBorderDxfId="53">
  <autoFilter ref="B7:F21" xr:uid="{10F78BC5-A04E-43AD-B328-A5E2F4154FDB}"/>
  <tableColumns count="5">
    <tableColumn id="1" xr3:uid="{8D984732-2238-4561-BDF5-09F2C498D501}" name="Field Name " dataDxfId="52"/>
    <tableColumn id="2" xr3:uid="{F3215D50-F51E-4A26-9606-24F53DCAE33D}" name="Description " dataDxfId="51"/>
    <tableColumn id="15" xr3:uid="{2FC16226-FC6C-4CEF-B5D0-D0144BB4F8EC}" name="Available in Data Lake" dataDxfId="50"/>
    <tableColumn id="16" xr3:uid="{2E22C32A-EC81-455A-9C65-AD6DE0A75C67}" name="DataLake Table" dataDxfId="49"/>
    <tableColumn id="17" xr3:uid="{84E5996B-9E67-4CD9-AB21-A7087505048F}" name="Data Lake Column" dataDxfId="48"/>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4CFE5C1-7306-4776-829D-846D8B15B850}" name="Table8" displayName="Table8" ref="B7:F11" totalsRowShown="0" headerRowDxfId="47" dataDxfId="45" headerRowBorderDxfId="46" tableBorderDxfId="44">
  <autoFilter ref="B7:F11" xr:uid="{34CFE5C1-7306-4776-829D-846D8B15B850}"/>
  <tableColumns count="5">
    <tableColumn id="1" xr3:uid="{A612CD54-CAA0-4BAC-9ACA-9913FF3D1EE3}" name="Field Name " dataDxfId="43"/>
    <tableColumn id="2" xr3:uid="{B40A84D5-6574-48CB-8ED2-CC2D0068ABDB}" name="Description " dataDxfId="42"/>
    <tableColumn id="15" xr3:uid="{55E3A8F4-31F5-4818-A29A-537AC8D119CF}" name="Available in Data Lake" dataDxfId="41"/>
    <tableColumn id="16" xr3:uid="{44B8CDD6-ED80-4F61-9D03-37840878FEA9}" name="Data Lake Table Name" dataDxfId="40"/>
    <tableColumn id="17" xr3:uid="{051C279B-FC87-4ECA-96E0-0850FD8DA012}" name="Data Lake Column" dataDxfId="39"/>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5EEE0AEB-3FE4-49DA-A063-6D602A23AC80}" name="Table830" displayName="Table830" ref="B7:F11" totalsRowShown="0" headerRowDxfId="38" dataDxfId="36" headerRowBorderDxfId="37" tableBorderDxfId="35">
  <autoFilter ref="B7:F11" xr:uid="{34CFE5C1-7306-4776-829D-846D8B15B850}"/>
  <tableColumns count="5">
    <tableColumn id="1" xr3:uid="{ECAA1F64-929B-43AB-AF81-1AB45D7E86D2}" name="Field Name " dataDxfId="34"/>
    <tableColumn id="2" xr3:uid="{652A65FC-6111-48D5-82BD-C58DEE4E1709}" name="Description " dataDxfId="33"/>
    <tableColumn id="15" xr3:uid="{5B566E4F-D124-4D1A-B2D2-71246D28D223}" name="Available in Data Lake" dataDxfId="32"/>
    <tableColumn id="16" xr3:uid="{AB7BE473-BCD3-4331-97D5-310DB86BFB49}" name="Data Lake Table Name" dataDxfId="31"/>
    <tableColumn id="17" xr3:uid="{46896FF6-F84A-46F5-8E78-1EFE5507D9C2}" name="Data Lake Column" dataDxfId="30"/>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F5C58C9C-57EA-46DF-9554-30E1673CA60C}" name="Table11" displayName="Table11" ref="B7:E32" totalsRowShown="0" headerRowDxfId="29" dataDxfId="27" headerRowBorderDxfId="28" tableBorderDxfId="26">
  <autoFilter ref="B7:E32" xr:uid="{F5C58C9C-57EA-46DF-9554-30E1673CA60C}"/>
  <tableColumns count="4">
    <tableColumn id="1" xr3:uid="{109BBFCB-488C-4463-A4AB-249CB1C197A0}" name="Field Name " dataDxfId="25"/>
    <tableColumn id="2" xr3:uid="{D57D62F0-7D72-4D9F-A9E2-A2660ADA3032}" name="Description " dataDxfId="24"/>
    <tableColumn id="16" xr3:uid="{6DFC90A3-AF3F-4B01-854D-66EDCE84D3C1}" name="Data Lake Table Name" dataDxfId="23"/>
    <tableColumn id="17" xr3:uid="{01A592EC-8A0D-49BC-BC61-A2FFE866A973}" name="Data Lake Column" dataDxfId="22"/>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2475EE39-6180-45BC-B447-CE8E43C8BDF8}" name="Table20" displayName="Table20" ref="A4:G7" totalsRowShown="0" headerRowDxfId="21" headerRowBorderDxfId="20" tableBorderDxfId="19" totalsRowBorderDxfId="18">
  <autoFilter ref="A4:G7" xr:uid="{2475EE39-6180-45BC-B447-CE8E43C8BDF8}"/>
  <tableColumns count="7">
    <tableColumn id="1" xr3:uid="{0580DE81-FDE5-45D1-AA4B-C4AAE0CD9A1B}" name="Field Name " dataDxfId="17"/>
    <tableColumn id="2" xr3:uid="{C022333A-957A-4E68-8851-372203A6AB95}" name="Description " dataDxfId="16"/>
    <tableColumn id="15" xr3:uid="{E6567BC2-754E-4B43-903F-7A269C1BC7BB}" name="Available in Data Lake" dataDxfId="15"/>
    <tableColumn id="16" xr3:uid="{A4A26FD7-33F7-4776-9F70-D70F279EF09E}" name="Source Table" dataDxfId="14"/>
    <tableColumn id="17" xr3:uid="{594111EC-889E-4974-9D8F-A24F4CF2BD4C}" name="Source Field" dataDxfId="13"/>
    <tableColumn id="3" xr3:uid="{85A9B3C1-CBB1-484A-A58D-DF6DF5D32F22}" name="Ruleset " dataDxfId="12"/>
    <tableColumn id="4" xr3:uid="{13397437-EB83-4889-83EC-BF38B8AC97EA}" name="Remarks" dataDxfId="11"/>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3DF2551-0BD6-4832-A349-1F6C8164FB2C}" name="Table10" displayName="Table10" ref="A4:G7" totalsRowShown="0" headerRowDxfId="10" headerRowBorderDxfId="9" tableBorderDxfId="8" totalsRowBorderDxfId="7">
  <autoFilter ref="A4:G7" xr:uid="{03DF2551-0BD6-4832-A349-1F6C8164FB2C}"/>
  <tableColumns count="7">
    <tableColumn id="1" xr3:uid="{30A74F40-2D51-40B2-A327-3D3CA84680AE}" name="Field Name " dataDxfId="6"/>
    <tableColumn id="2" xr3:uid="{AAD80BDA-FAB1-453C-99B7-3A7ACD8F6BAC}" name="Description " dataDxfId="5"/>
    <tableColumn id="15" xr3:uid="{737CA95A-75F8-40EE-A746-C9D00B338BAE}" name="Available in Data Lake" dataDxfId="4"/>
    <tableColumn id="16" xr3:uid="{93F37776-8759-416A-ACB9-ABE57D445D27}" name="Source Table" dataDxfId="3"/>
    <tableColumn id="17" xr3:uid="{DAE85782-8E30-4E3E-9964-50040FFD4172}" name="Source Field" dataDxfId="2"/>
    <tableColumn id="19" xr3:uid="{8EA1063C-0446-45EC-BA27-3E25112301C5}" name="Ruleset " dataDxfId="1"/>
    <tableColumn id="20" xr3:uid="{24D339AF-EDC5-40BB-AC43-DCCF0039286F}" name="Remarks"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4.bin"/><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printerSettings" Target="../printerSettings/printerSettings11.bin"/><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2.xml"/><Relationship Id="rId1" Type="http://schemas.openxmlformats.org/officeDocument/2006/relationships/printerSettings" Target="../printerSettings/printerSettings12.bin"/></Relationships>
</file>

<file path=xl/worksheets/_rels/sheet12.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13.bin"/></Relationships>
</file>

<file path=xl/worksheets/_rels/sheet13.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printerSettings" Target="../printerSettings/printerSettings15.bin"/><Relationship Id="rId1" Type="http://schemas.openxmlformats.org/officeDocument/2006/relationships/printerSettings" Target="../printerSettings/printerSettings14.bin"/></Relationships>
</file>

<file path=xl/worksheets/_rels/sheet14.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16.bin"/></Relationships>
</file>

<file path=xl/worksheets/_rels/sheet15.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06AC66-8A03-4CB5-B6C7-EEA6414481EC}">
  <dimension ref="B2:M67"/>
  <sheetViews>
    <sheetView topLeftCell="A23" workbookViewId="0">
      <selection activeCell="E38" sqref="E38"/>
    </sheetView>
  </sheetViews>
  <sheetFormatPr defaultRowHeight="14.5" x14ac:dyDescent="0.35"/>
  <cols>
    <col min="2" max="2" width="5" bestFit="1" customWidth="1"/>
    <col min="3" max="3" width="28.81640625" bestFit="1" customWidth="1"/>
    <col min="4" max="4" width="22.81640625" bestFit="1" customWidth="1"/>
    <col min="5" max="5" width="24.453125" bestFit="1" customWidth="1"/>
    <col min="6" max="6" width="16.1796875" bestFit="1" customWidth="1"/>
    <col min="7" max="9" width="16.1796875" customWidth="1"/>
    <col min="10" max="10" width="9.54296875" bestFit="1" customWidth="1"/>
    <col min="11" max="11" width="12.1796875" bestFit="1" customWidth="1"/>
    <col min="12" max="12" width="14.54296875" bestFit="1" customWidth="1"/>
    <col min="13" max="13" width="12.1796875" bestFit="1" customWidth="1"/>
  </cols>
  <sheetData>
    <row r="2" spans="2:13" x14ac:dyDescent="0.35">
      <c r="B2" s="170" t="s">
        <v>0</v>
      </c>
      <c r="C2" s="171" t="s">
        <v>1</v>
      </c>
      <c r="D2" s="170" t="s">
        <v>2</v>
      </c>
      <c r="E2" s="171" t="s">
        <v>3</v>
      </c>
      <c r="F2" s="171" t="s">
        <v>4</v>
      </c>
      <c r="G2" s="171" t="s">
        <v>5</v>
      </c>
      <c r="H2" s="171" t="s">
        <v>6</v>
      </c>
      <c r="I2" s="77"/>
      <c r="J2" s="173" t="s">
        <v>7</v>
      </c>
      <c r="K2" s="173"/>
      <c r="L2" s="173"/>
      <c r="M2" s="173"/>
    </row>
    <row r="3" spans="2:13" x14ac:dyDescent="0.35">
      <c r="B3" s="170"/>
      <c r="C3" s="172"/>
      <c r="D3" s="170"/>
      <c r="E3" s="172"/>
      <c r="F3" s="172"/>
      <c r="G3" s="172"/>
      <c r="H3" s="172"/>
      <c r="I3" s="78"/>
      <c r="J3" s="4" t="s">
        <v>8</v>
      </c>
      <c r="K3" s="4" t="s">
        <v>9</v>
      </c>
      <c r="L3" s="4" t="s">
        <v>10</v>
      </c>
      <c r="M3" s="4" t="s">
        <v>11</v>
      </c>
    </row>
    <row r="4" spans="2:13" x14ac:dyDescent="0.35">
      <c r="B4" s="169">
        <v>1</v>
      </c>
      <c r="C4" s="6" t="s">
        <v>12</v>
      </c>
      <c r="D4" s="3" t="s">
        <v>13</v>
      </c>
      <c r="E4" s="3" t="s">
        <v>14</v>
      </c>
      <c r="F4" s="3" t="s">
        <v>15</v>
      </c>
      <c r="G4" s="3"/>
      <c r="H4" s="3"/>
      <c r="I4" s="3"/>
      <c r="J4" s="3"/>
      <c r="K4" s="3"/>
      <c r="L4" s="3"/>
      <c r="M4" s="3"/>
    </row>
    <row r="5" spans="2:13" x14ac:dyDescent="0.35">
      <c r="B5" s="169"/>
      <c r="C5" s="6" t="s">
        <v>12</v>
      </c>
      <c r="D5" s="3" t="s">
        <v>16</v>
      </c>
      <c r="E5" s="3"/>
      <c r="F5" s="3"/>
      <c r="G5" s="3"/>
      <c r="H5" s="3"/>
      <c r="I5" s="3"/>
      <c r="J5" s="3"/>
      <c r="K5" s="3"/>
      <c r="L5" s="3"/>
      <c r="M5" s="3"/>
    </row>
    <row r="6" spans="2:13" x14ac:dyDescent="0.35">
      <c r="B6" s="169"/>
      <c r="C6" s="6" t="s">
        <v>12</v>
      </c>
      <c r="D6" s="3" t="s">
        <v>17</v>
      </c>
      <c r="E6" s="3" t="s">
        <v>18</v>
      </c>
      <c r="F6" s="3" t="s">
        <v>19</v>
      </c>
      <c r="G6" s="3"/>
      <c r="H6" s="3"/>
      <c r="I6" s="3"/>
      <c r="J6" s="3"/>
      <c r="K6" s="3"/>
      <c r="L6" s="3"/>
      <c r="M6" s="3"/>
    </row>
    <row r="7" spans="2:13" x14ac:dyDescent="0.35">
      <c r="B7" s="169"/>
      <c r="C7" s="6" t="s">
        <v>12</v>
      </c>
      <c r="D7" s="3" t="s">
        <v>20</v>
      </c>
      <c r="E7" s="3" t="s">
        <v>14</v>
      </c>
      <c r="F7" s="3" t="s">
        <v>21</v>
      </c>
      <c r="G7" s="3"/>
      <c r="H7" s="3"/>
      <c r="I7" s="3"/>
      <c r="J7" s="3"/>
      <c r="K7" s="3"/>
      <c r="L7" s="3"/>
      <c r="M7" s="3"/>
    </row>
    <row r="8" spans="2:13" x14ac:dyDescent="0.35">
      <c r="B8" s="169"/>
      <c r="C8" s="6" t="s">
        <v>12</v>
      </c>
      <c r="D8" s="3" t="s">
        <v>22</v>
      </c>
      <c r="E8" s="18" t="s">
        <v>18</v>
      </c>
      <c r="F8" s="17" t="s">
        <v>23</v>
      </c>
      <c r="G8" s="17"/>
      <c r="H8" s="17"/>
      <c r="I8" s="17"/>
      <c r="J8" s="3"/>
      <c r="K8" s="3"/>
      <c r="L8" s="3"/>
      <c r="M8" s="3"/>
    </row>
    <row r="9" spans="2:13" x14ac:dyDescent="0.35">
      <c r="B9" s="169"/>
      <c r="C9" s="6" t="s">
        <v>12</v>
      </c>
      <c r="D9" s="3" t="s">
        <v>24</v>
      </c>
      <c r="E9" s="3" t="s">
        <v>18</v>
      </c>
      <c r="F9" s="3" t="s">
        <v>25</v>
      </c>
      <c r="G9" s="3"/>
      <c r="H9" s="3"/>
      <c r="I9" s="3"/>
      <c r="J9" s="3"/>
      <c r="K9" s="3"/>
      <c r="L9" s="3"/>
      <c r="M9" s="3"/>
    </row>
    <row r="10" spans="2:13" x14ac:dyDescent="0.35">
      <c r="B10" s="169"/>
      <c r="C10" s="6" t="s">
        <v>12</v>
      </c>
      <c r="D10" s="3" t="s">
        <v>26</v>
      </c>
      <c r="E10" s="2" t="s">
        <v>27</v>
      </c>
      <c r="F10" s="3" t="s">
        <v>28</v>
      </c>
      <c r="G10" s="3"/>
      <c r="H10" s="3"/>
      <c r="I10" s="3"/>
      <c r="J10" s="3"/>
      <c r="K10" s="3"/>
      <c r="L10" s="3"/>
      <c r="M10" s="3"/>
    </row>
    <row r="11" spans="2:13" x14ac:dyDescent="0.35">
      <c r="B11" s="169"/>
      <c r="C11" s="6" t="s">
        <v>12</v>
      </c>
      <c r="D11" s="3" t="s">
        <v>29</v>
      </c>
      <c r="E11" s="3" t="s">
        <v>18</v>
      </c>
      <c r="F11" s="3" t="s">
        <v>30</v>
      </c>
      <c r="G11" s="3"/>
      <c r="H11" s="3"/>
      <c r="I11" s="3"/>
      <c r="J11" s="3"/>
      <c r="K11" s="3"/>
      <c r="L11" s="3"/>
      <c r="M11" s="3"/>
    </row>
    <row r="12" spans="2:13" x14ac:dyDescent="0.35">
      <c r="B12" s="169">
        <v>2</v>
      </c>
      <c r="C12" s="6" t="s">
        <v>31</v>
      </c>
      <c r="D12" s="3" t="s">
        <v>32</v>
      </c>
      <c r="E12" s="3" t="s">
        <v>33</v>
      </c>
      <c r="F12" s="3" t="s">
        <v>34</v>
      </c>
      <c r="G12" s="3"/>
      <c r="H12" s="3"/>
      <c r="I12" s="3"/>
      <c r="J12" s="3"/>
      <c r="K12" s="3"/>
      <c r="L12" s="3"/>
      <c r="M12" s="3"/>
    </row>
    <row r="13" spans="2:13" x14ac:dyDescent="0.35">
      <c r="B13" s="169"/>
      <c r="C13" s="6" t="s">
        <v>31</v>
      </c>
      <c r="D13" s="3" t="s">
        <v>35</v>
      </c>
      <c r="E13" s="3" t="s">
        <v>36</v>
      </c>
      <c r="F13" s="3" t="s">
        <v>37</v>
      </c>
      <c r="G13" s="3"/>
      <c r="H13" s="3"/>
      <c r="I13" s="3"/>
      <c r="J13" s="3"/>
      <c r="K13" s="3"/>
      <c r="L13" s="3"/>
      <c r="M13" s="3"/>
    </row>
    <row r="14" spans="2:13" x14ac:dyDescent="0.35">
      <c r="B14" s="169"/>
      <c r="C14" s="6" t="s">
        <v>31</v>
      </c>
      <c r="D14" s="3" t="s">
        <v>38</v>
      </c>
      <c r="E14" s="16" t="s">
        <v>39</v>
      </c>
      <c r="F14" s="16" t="s">
        <v>40</v>
      </c>
      <c r="G14" s="16"/>
      <c r="H14" s="16"/>
      <c r="I14" s="16"/>
      <c r="J14" s="3"/>
      <c r="K14" s="3"/>
      <c r="L14" s="3"/>
      <c r="M14" s="3"/>
    </row>
    <row r="15" spans="2:13" x14ac:dyDescent="0.35">
      <c r="B15" s="169"/>
      <c r="C15" s="6" t="s">
        <v>31</v>
      </c>
      <c r="D15" s="3" t="s">
        <v>41</v>
      </c>
      <c r="E15" s="16" t="s">
        <v>42</v>
      </c>
      <c r="F15" s="3" t="s">
        <v>43</v>
      </c>
      <c r="G15" s="3"/>
      <c r="H15" s="3"/>
      <c r="I15" s="3"/>
      <c r="J15" s="3"/>
      <c r="K15" s="3"/>
      <c r="L15" s="3"/>
      <c r="M15" s="3"/>
    </row>
    <row r="16" spans="2:13" x14ac:dyDescent="0.35">
      <c r="B16" s="169"/>
      <c r="C16" s="6" t="s">
        <v>31</v>
      </c>
      <c r="D16" s="3" t="s">
        <v>44</v>
      </c>
      <c r="E16" s="3" t="s">
        <v>18</v>
      </c>
      <c r="F16" s="3" t="s">
        <v>45</v>
      </c>
      <c r="G16" s="3"/>
      <c r="H16" s="3"/>
      <c r="I16" s="3"/>
      <c r="J16" s="3"/>
      <c r="K16" s="3"/>
      <c r="L16" s="3"/>
      <c r="M16" s="3"/>
    </row>
    <row r="17" spans="2:13" x14ac:dyDescent="0.35">
      <c r="B17" s="169"/>
      <c r="C17" s="6" t="s">
        <v>31</v>
      </c>
      <c r="D17" s="3" t="s">
        <v>46</v>
      </c>
      <c r="E17" s="3" t="s">
        <v>47</v>
      </c>
      <c r="F17" s="3" t="s">
        <v>48</v>
      </c>
      <c r="G17" s="3"/>
      <c r="H17" s="3"/>
      <c r="I17" s="3"/>
      <c r="J17" s="3"/>
      <c r="K17" s="3"/>
      <c r="L17" s="3"/>
      <c r="M17" s="3"/>
    </row>
    <row r="18" spans="2:13" x14ac:dyDescent="0.35">
      <c r="B18" s="169"/>
      <c r="C18" s="6" t="s">
        <v>31</v>
      </c>
      <c r="D18" s="3" t="s">
        <v>49</v>
      </c>
      <c r="E18" s="3" t="s">
        <v>47</v>
      </c>
      <c r="F18" s="3" t="s">
        <v>50</v>
      </c>
      <c r="G18" s="3"/>
      <c r="H18" s="3"/>
      <c r="I18" s="3"/>
      <c r="J18" s="3"/>
      <c r="K18" s="3"/>
      <c r="L18" s="3"/>
      <c r="M18" s="3"/>
    </row>
    <row r="19" spans="2:13" x14ac:dyDescent="0.35">
      <c r="B19" s="169"/>
      <c r="C19" s="6" t="s">
        <v>31</v>
      </c>
      <c r="D19" s="3" t="s">
        <v>51</v>
      </c>
      <c r="E19" s="3"/>
      <c r="F19" s="3"/>
      <c r="G19" s="3"/>
      <c r="H19" s="3"/>
      <c r="I19" s="3"/>
      <c r="J19" s="3"/>
      <c r="K19" s="3"/>
      <c r="L19" s="3"/>
      <c r="M19" s="3"/>
    </row>
    <row r="20" spans="2:13" x14ac:dyDescent="0.35">
      <c r="B20" s="169"/>
      <c r="C20" s="6" t="s">
        <v>31</v>
      </c>
      <c r="D20" s="3" t="s">
        <v>52</v>
      </c>
      <c r="E20" s="3"/>
      <c r="F20" s="3"/>
      <c r="G20" s="3"/>
      <c r="H20" s="3"/>
      <c r="I20" s="3"/>
      <c r="J20" s="3"/>
      <c r="K20" s="3"/>
      <c r="L20" s="3"/>
      <c r="M20" s="3"/>
    </row>
    <row r="21" spans="2:13" x14ac:dyDescent="0.35">
      <c r="B21" s="169"/>
      <c r="C21" s="6" t="s">
        <v>31</v>
      </c>
      <c r="D21" s="3" t="s">
        <v>53</v>
      </c>
      <c r="E21" s="3"/>
      <c r="F21" s="3"/>
      <c r="G21" s="3"/>
      <c r="H21" s="3"/>
      <c r="I21" s="3"/>
      <c r="J21" s="3"/>
      <c r="K21" s="3"/>
      <c r="L21" s="3"/>
      <c r="M21" s="3"/>
    </row>
    <row r="22" spans="2:13" x14ac:dyDescent="0.35">
      <c r="B22" s="169"/>
      <c r="C22" s="6" t="s">
        <v>31</v>
      </c>
      <c r="D22" s="3" t="s">
        <v>54</v>
      </c>
      <c r="E22" s="3" t="s">
        <v>18</v>
      </c>
      <c r="F22" s="3" t="s">
        <v>55</v>
      </c>
      <c r="G22" s="3"/>
      <c r="H22" s="3"/>
      <c r="I22" s="3"/>
      <c r="J22" s="3"/>
      <c r="K22" s="3"/>
      <c r="L22" s="3"/>
      <c r="M22" s="3"/>
    </row>
    <row r="23" spans="2:13" x14ac:dyDescent="0.35">
      <c r="B23" s="169"/>
      <c r="C23" s="6" t="s">
        <v>31</v>
      </c>
      <c r="D23" s="22" t="s">
        <v>56</v>
      </c>
      <c r="E23" s="3"/>
      <c r="F23" s="3"/>
      <c r="G23" s="3"/>
      <c r="H23" s="3"/>
      <c r="I23" s="3"/>
      <c r="J23" s="3"/>
      <c r="K23" s="3"/>
      <c r="L23" s="3"/>
      <c r="M23" s="3"/>
    </row>
    <row r="24" spans="2:13" x14ac:dyDescent="0.35">
      <c r="B24" s="169">
        <v>3</v>
      </c>
      <c r="C24" s="6" t="s">
        <v>57</v>
      </c>
      <c r="D24" s="6" t="s">
        <v>58</v>
      </c>
      <c r="E24" s="3"/>
      <c r="F24" s="3"/>
      <c r="G24" s="3"/>
      <c r="H24" s="3"/>
      <c r="I24" s="3"/>
      <c r="J24" s="3"/>
      <c r="K24" s="3"/>
      <c r="L24" s="3"/>
      <c r="M24" s="3"/>
    </row>
    <row r="25" spans="2:13" x14ac:dyDescent="0.35">
      <c r="B25" s="169"/>
      <c r="C25" s="6" t="s">
        <v>57</v>
      </c>
      <c r="D25" s="6" t="s">
        <v>59</v>
      </c>
      <c r="E25" s="3"/>
      <c r="F25" s="3"/>
      <c r="G25" s="3"/>
      <c r="H25" s="3"/>
      <c r="I25" s="3"/>
      <c r="J25" s="3"/>
      <c r="K25" s="3"/>
      <c r="L25" s="3"/>
      <c r="M25" s="3"/>
    </row>
    <row r="26" spans="2:13" x14ac:dyDescent="0.35">
      <c r="B26" s="169">
        <v>4</v>
      </c>
      <c r="C26" s="6" t="s">
        <v>60</v>
      </c>
      <c r="D26" s="3" t="s">
        <v>61</v>
      </c>
      <c r="E26" s="3" t="s">
        <v>62</v>
      </c>
      <c r="F26" s="3" t="s">
        <v>63</v>
      </c>
      <c r="G26" s="3"/>
      <c r="H26" s="3"/>
      <c r="I26" s="3"/>
      <c r="J26" s="3"/>
      <c r="K26" s="3"/>
      <c r="L26" s="3"/>
      <c r="M26" s="3"/>
    </row>
    <row r="27" spans="2:13" x14ac:dyDescent="0.35">
      <c r="B27" s="169"/>
      <c r="C27" s="6" t="s">
        <v>60</v>
      </c>
      <c r="D27" s="3" t="s">
        <v>64</v>
      </c>
      <c r="E27" s="3" t="s">
        <v>65</v>
      </c>
      <c r="F27" s="3" t="s">
        <v>66</v>
      </c>
      <c r="G27" s="3"/>
      <c r="H27" s="3"/>
      <c r="I27" s="3"/>
      <c r="J27" s="3"/>
      <c r="K27" s="3"/>
      <c r="L27" s="3"/>
      <c r="M27" s="3"/>
    </row>
    <row r="28" spans="2:13" x14ac:dyDescent="0.35">
      <c r="B28" s="169"/>
      <c r="C28" s="6" t="s">
        <v>60</v>
      </c>
      <c r="D28" s="3" t="s">
        <v>67</v>
      </c>
      <c r="E28" s="3" t="s">
        <v>62</v>
      </c>
      <c r="F28" s="3" t="s">
        <v>63</v>
      </c>
      <c r="G28" s="3"/>
      <c r="H28" s="3"/>
      <c r="I28" s="3"/>
      <c r="J28" s="3"/>
      <c r="K28" s="3"/>
      <c r="L28" s="3"/>
      <c r="M28" s="3"/>
    </row>
    <row r="29" spans="2:13" x14ac:dyDescent="0.35">
      <c r="B29" s="169"/>
      <c r="C29" s="6" t="s">
        <v>60</v>
      </c>
      <c r="D29" s="3" t="s">
        <v>68</v>
      </c>
      <c r="E29" s="24" t="s">
        <v>65</v>
      </c>
      <c r="F29" s="24" t="s">
        <v>66</v>
      </c>
      <c r="G29" s="24"/>
      <c r="H29" s="24"/>
      <c r="I29" s="24"/>
      <c r="J29" s="3"/>
      <c r="K29" s="3"/>
      <c r="L29" s="3"/>
      <c r="M29" s="3"/>
    </row>
    <row r="30" spans="2:13" x14ac:dyDescent="0.35">
      <c r="B30" s="169"/>
      <c r="C30" s="6" t="s">
        <v>60</v>
      </c>
      <c r="D30" s="3" t="s">
        <v>69</v>
      </c>
      <c r="E30" s="24" t="s">
        <v>62</v>
      </c>
      <c r="F30" s="24" t="s">
        <v>70</v>
      </c>
      <c r="G30" s="24"/>
      <c r="H30" s="24"/>
      <c r="I30" s="24"/>
      <c r="J30" s="3"/>
      <c r="K30" s="3"/>
      <c r="L30" s="3"/>
      <c r="M30" s="3"/>
    </row>
    <row r="31" spans="2:13" x14ac:dyDescent="0.35">
      <c r="B31" s="169"/>
      <c r="C31" s="6" t="s">
        <v>60</v>
      </c>
      <c r="D31" s="3" t="s">
        <v>71</v>
      </c>
      <c r="E31" s="3" t="s">
        <v>62</v>
      </c>
      <c r="F31" s="3" t="s">
        <v>72</v>
      </c>
      <c r="G31" s="3"/>
      <c r="H31" s="3"/>
      <c r="I31" s="3"/>
      <c r="J31" s="3"/>
      <c r="K31" s="3"/>
      <c r="L31" s="3"/>
      <c r="M31" s="3"/>
    </row>
    <row r="32" spans="2:13" x14ac:dyDescent="0.35">
      <c r="B32" s="169">
        <v>5</v>
      </c>
      <c r="C32" s="169" t="s">
        <v>73</v>
      </c>
      <c r="D32" s="3" t="s">
        <v>74</v>
      </c>
      <c r="E32" s="3"/>
      <c r="F32" s="3"/>
      <c r="G32" s="3"/>
      <c r="H32" s="3"/>
      <c r="I32" s="3"/>
      <c r="J32" s="3"/>
      <c r="K32" s="3"/>
      <c r="L32" s="3"/>
      <c r="M32" s="3"/>
    </row>
    <row r="33" spans="2:13" x14ac:dyDescent="0.35">
      <c r="B33" s="169"/>
      <c r="C33" s="169"/>
      <c r="D33" s="3" t="s">
        <v>75</v>
      </c>
      <c r="E33" s="3"/>
      <c r="F33" s="3"/>
      <c r="G33" s="3"/>
      <c r="H33" s="3"/>
      <c r="I33" s="3"/>
      <c r="J33" s="3"/>
      <c r="K33" s="3"/>
      <c r="L33" s="3"/>
      <c r="M33" s="3"/>
    </row>
    <row r="34" spans="2:13" x14ac:dyDescent="0.35">
      <c r="B34" s="169"/>
      <c r="C34" s="169"/>
      <c r="D34" s="57" t="s">
        <v>76</v>
      </c>
      <c r="E34" s="57" t="s">
        <v>27</v>
      </c>
      <c r="F34" s="57" t="s">
        <v>77</v>
      </c>
      <c r="G34" s="57"/>
      <c r="H34" s="57"/>
      <c r="I34" s="57"/>
      <c r="J34" s="3"/>
      <c r="K34" s="3"/>
      <c r="L34" s="3"/>
      <c r="M34" s="3"/>
    </row>
    <row r="35" spans="2:13" ht="15.5" x14ac:dyDescent="0.35">
      <c r="B35" s="169"/>
      <c r="C35" s="169"/>
      <c r="D35" s="57" t="s">
        <v>78</v>
      </c>
      <c r="E35" s="57" t="s">
        <v>27</v>
      </c>
      <c r="F35" s="79" t="s">
        <v>77</v>
      </c>
      <c r="G35" s="79"/>
      <c r="H35" s="79"/>
      <c r="I35" s="79"/>
      <c r="J35" s="3"/>
      <c r="K35" s="3"/>
      <c r="L35" s="3"/>
      <c r="M35" s="3"/>
    </row>
    <row r="36" spans="2:13" x14ac:dyDescent="0.35">
      <c r="B36" s="169"/>
      <c r="C36" s="169"/>
      <c r="D36" s="3" t="s">
        <v>79</v>
      </c>
      <c r="E36" s="3" t="s">
        <v>27</v>
      </c>
      <c r="F36" s="3" t="s">
        <v>80</v>
      </c>
      <c r="G36" s="3"/>
      <c r="H36" s="3"/>
      <c r="I36" s="3"/>
      <c r="J36" s="3"/>
      <c r="K36" s="3"/>
      <c r="L36" s="3"/>
      <c r="M36" s="3"/>
    </row>
    <row r="37" spans="2:13" x14ac:dyDescent="0.35">
      <c r="B37" s="169"/>
      <c r="C37" s="169"/>
      <c r="D37" s="3" t="s">
        <v>81</v>
      </c>
      <c r="E37" s="3" t="s">
        <v>27</v>
      </c>
      <c r="F37" s="3" t="s">
        <v>80</v>
      </c>
      <c r="G37" s="3"/>
      <c r="H37" s="3"/>
      <c r="I37" s="3"/>
      <c r="J37" s="3"/>
      <c r="K37" s="3"/>
      <c r="L37" s="3"/>
      <c r="M37" s="3"/>
    </row>
    <row r="38" spans="2:13" x14ac:dyDescent="0.35">
      <c r="B38" s="169"/>
      <c r="C38" s="169"/>
      <c r="D38" s="3" t="s">
        <v>82</v>
      </c>
      <c r="E38" s="3" t="s">
        <v>27</v>
      </c>
      <c r="F38" s="3" t="s">
        <v>83</v>
      </c>
      <c r="G38" s="3"/>
      <c r="H38" s="3"/>
      <c r="I38" s="3"/>
      <c r="J38" s="3"/>
      <c r="K38" s="3"/>
      <c r="L38" s="3"/>
      <c r="M38" s="3"/>
    </row>
    <row r="39" spans="2:13" x14ac:dyDescent="0.35">
      <c r="B39" s="169"/>
      <c r="C39" s="169"/>
      <c r="D39" s="3" t="s">
        <v>84</v>
      </c>
      <c r="E39" s="3" t="s">
        <v>27</v>
      </c>
      <c r="F39" s="3" t="s">
        <v>83</v>
      </c>
      <c r="G39" s="3"/>
      <c r="H39" s="3"/>
      <c r="I39" s="3"/>
      <c r="J39" s="3"/>
      <c r="K39" s="3"/>
      <c r="L39" s="3"/>
      <c r="M39" s="3"/>
    </row>
    <row r="40" spans="2:13" x14ac:dyDescent="0.35">
      <c r="B40" s="169"/>
      <c r="C40" s="169"/>
      <c r="D40" s="3" t="s">
        <v>85</v>
      </c>
      <c r="E40" s="3"/>
      <c r="F40" s="3"/>
      <c r="G40" s="3"/>
      <c r="H40" s="3"/>
      <c r="I40" s="3"/>
      <c r="J40" s="3"/>
      <c r="K40" s="3"/>
      <c r="L40" s="3"/>
      <c r="M40" s="3"/>
    </row>
    <row r="41" spans="2:13" x14ac:dyDescent="0.35">
      <c r="B41" s="169"/>
      <c r="C41" s="169"/>
      <c r="D41" s="3" t="s">
        <v>86</v>
      </c>
      <c r="E41" s="3"/>
      <c r="F41" s="3"/>
      <c r="G41" s="3"/>
      <c r="H41" s="3"/>
      <c r="I41" s="3"/>
      <c r="J41" s="3"/>
      <c r="K41" s="3"/>
      <c r="L41" s="3"/>
      <c r="M41" s="3"/>
    </row>
    <row r="42" spans="2:13" x14ac:dyDescent="0.35">
      <c r="B42" s="169"/>
      <c r="C42" s="169"/>
      <c r="D42" s="3" t="s">
        <v>87</v>
      </c>
      <c r="E42" s="3" t="s">
        <v>27</v>
      </c>
      <c r="F42" s="3" t="s">
        <v>88</v>
      </c>
      <c r="G42" s="3"/>
      <c r="H42" s="3"/>
      <c r="I42" s="3"/>
      <c r="J42" s="3"/>
      <c r="K42" s="3"/>
      <c r="L42" s="3"/>
      <c r="M42" s="3"/>
    </row>
    <row r="43" spans="2:13" x14ac:dyDescent="0.35">
      <c r="B43" s="169"/>
      <c r="C43" s="169"/>
      <c r="D43" s="3" t="s">
        <v>89</v>
      </c>
      <c r="E43" s="3" t="s">
        <v>27</v>
      </c>
      <c r="F43" s="3" t="s">
        <v>88</v>
      </c>
      <c r="G43" s="3"/>
      <c r="H43" s="3"/>
      <c r="I43" s="3"/>
      <c r="J43" s="3"/>
      <c r="K43" s="3"/>
      <c r="L43" s="3"/>
      <c r="M43" s="3"/>
    </row>
    <row r="44" spans="2:13" x14ac:dyDescent="0.35">
      <c r="B44" s="169"/>
      <c r="C44" s="169"/>
      <c r="D44" s="3" t="s">
        <v>90</v>
      </c>
      <c r="E44" s="3"/>
      <c r="F44" s="3"/>
      <c r="G44" s="3"/>
      <c r="H44" s="3"/>
      <c r="I44" s="3"/>
      <c r="J44" s="3"/>
      <c r="K44" s="3"/>
      <c r="L44" s="3"/>
      <c r="M44" s="3"/>
    </row>
    <row r="45" spans="2:13" x14ac:dyDescent="0.35">
      <c r="B45" s="169"/>
      <c r="C45" s="169"/>
      <c r="D45" s="3" t="s">
        <v>91</v>
      </c>
      <c r="E45" s="3"/>
      <c r="F45" s="3"/>
      <c r="G45" s="3"/>
      <c r="H45" s="3"/>
      <c r="I45" s="3"/>
      <c r="J45" s="3"/>
      <c r="K45" s="3"/>
      <c r="L45" s="3"/>
      <c r="M45" s="3"/>
    </row>
    <row r="46" spans="2:13" x14ac:dyDescent="0.35">
      <c r="B46" s="169"/>
      <c r="C46" s="169"/>
      <c r="D46" s="3" t="s">
        <v>92</v>
      </c>
      <c r="E46" s="3" t="s">
        <v>27</v>
      </c>
      <c r="F46" s="3" t="s">
        <v>88</v>
      </c>
      <c r="G46" s="3"/>
      <c r="H46" s="3"/>
      <c r="I46" s="3"/>
      <c r="J46" s="3"/>
      <c r="K46" s="3"/>
      <c r="L46" s="3"/>
      <c r="M46" s="3"/>
    </row>
    <row r="47" spans="2:13" x14ac:dyDescent="0.35">
      <c r="B47" s="169"/>
      <c r="C47" s="169"/>
      <c r="D47" s="3" t="s">
        <v>93</v>
      </c>
      <c r="E47" s="3" t="s">
        <v>27</v>
      </c>
      <c r="F47" s="3" t="s">
        <v>88</v>
      </c>
      <c r="G47" s="3"/>
      <c r="H47" s="3"/>
      <c r="I47" s="3"/>
      <c r="J47" s="3"/>
      <c r="K47" s="3"/>
      <c r="L47" s="3"/>
      <c r="M47" s="3"/>
    </row>
    <row r="48" spans="2:13" x14ac:dyDescent="0.35">
      <c r="B48" s="169"/>
      <c r="C48" s="169"/>
      <c r="D48" s="3" t="s">
        <v>94</v>
      </c>
      <c r="E48" s="3"/>
      <c r="F48" s="3"/>
      <c r="G48" s="3"/>
      <c r="H48" s="3"/>
      <c r="I48" s="3"/>
      <c r="J48" s="3"/>
      <c r="K48" s="3"/>
      <c r="L48" s="3"/>
      <c r="M48" s="3"/>
    </row>
    <row r="49" spans="2:13" x14ac:dyDescent="0.35">
      <c r="B49" s="169"/>
      <c r="C49" s="169"/>
      <c r="D49" s="3" t="s">
        <v>95</v>
      </c>
      <c r="E49" s="3"/>
      <c r="F49" s="3"/>
      <c r="G49" s="3"/>
      <c r="H49" s="3"/>
      <c r="I49" s="3"/>
      <c r="J49" s="3"/>
      <c r="K49" s="3"/>
      <c r="L49" s="3"/>
      <c r="M49" s="3"/>
    </row>
    <row r="50" spans="2:13" x14ac:dyDescent="0.35">
      <c r="B50" s="169">
        <v>6</v>
      </c>
      <c r="C50" s="169" t="s">
        <v>96</v>
      </c>
      <c r="D50" s="3" t="s">
        <v>58</v>
      </c>
      <c r="E50" s="3" t="s">
        <v>97</v>
      </c>
      <c r="F50" s="3" t="s">
        <v>98</v>
      </c>
      <c r="G50" s="3"/>
      <c r="H50" s="3"/>
      <c r="I50" s="3"/>
      <c r="J50" s="3"/>
      <c r="K50" s="3"/>
      <c r="L50" s="3"/>
      <c r="M50" s="3"/>
    </row>
    <row r="51" spans="2:13" x14ac:dyDescent="0.35">
      <c r="B51" s="169"/>
      <c r="C51" s="169"/>
      <c r="D51" s="3" t="s">
        <v>99</v>
      </c>
      <c r="E51" s="3" t="s">
        <v>100</v>
      </c>
      <c r="F51" s="3" t="s">
        <v>101</v>
      </c>
      <c r="G51" s="3"/>
      <c r="H51" s="3"/>
      <c r="I51" s="3"/>
      <c r="J51" s="3"/>
      <c r="K51" s="3"/>
      <c r="L51" s="3"/>
      <c r="M51" s="3"/>
    </row>
    <row r="52" spans="2:13" x14ac:dyDescent="0.35">
      <c r="B52" s="169"/>
      <c r="C52" s="169"/>
      <c r="D52" s="3" t="s">
        <v>102</v>
      </c>
      <c r="E52" s="3" t="s">
        <v>103</v>
      </c>
      <c r="F52" s="3" t="s">
        <v>104</v>
      </c>
      <c r="G52" s="3"/>
      <c r="H52" s="3"/>
      <c r="I52" s="3"/>
      <c r="J52" s="3"/>
      <c r="K52" s="3"/>
      <c r="L52" s="3"/>
      <c r="M52" s="3"/>
    </row>
    <row r="53" spans="2:13" x14ac:dyDescent="0.35">
      <c r="B53" s="169"/>
      <c r="C53" s="169"/>
      <c r="D53" s="3" t="s">
        <v>105</v>
      </c>
      <c r="E53" s="3" t="s">
        <v>106</v>
      </c>
      <c r="F53" s="3" t="s">
        <v>107</v>
      </c>
      <c r="G53" s="3"/>
      <c r="H53" s="3"/>
      <c r="I53" s="3"/>
      <c r="J53" s="3"/>
      <c r="K53" s="3"/>
      <c r="L53" s="3"/>
      <c r="M53" s="3"/>
    </row>
    <row r="54" spans="2:13" ht="29" x14ac:dyDescent="0.35">
      <c r="B54" s="169"/>
      <c r="C54" s="169"/>
      <c r="D54" s="2" t="s">
        <v>108</v>
      </c>
      <c r="E54" s="17" t="s">
        <v>109</v>
      </c>
      <c r="F54" s="3" t="s">
        <v>110</v>
      </c>
      <c r="G54" s="3"/>
      <c r="H54" s="3"/>
      <c r="I54" s="3"/>
      <c r="J54" s="3"/>
      <c r="K54" s="3"/>
      <c r="L54" s="3"/>
      <c r="M54" s="3"/>
    </row>
    <row r="55" spans="2:13" x14ac:dyDescent="0.35">
      <c r="B55" s="169"/>
      <c r="C55" s="169"/>
      <c r="D55" s="2" t="s">
        <v>111</v>
      </c>
      <c r="E55" s="3" t="s">
        <v>112</v>
      </c>
      <c r="F55" s="3" t="s">
        <v>113</v>
      </c>
      <c r="G55" s="3"/>
      <c r="H55" s="3"/>
      <c r="I55" s="3"/>
      <c r="J55" s="3"/>
      <c r="K55" s="3"/>
      <c r="L55" s="3"/>
      <c r="M55" s="3"/>
    </row>
    <row r="56" spans="2:13" x14ac:dyDescent="0.35">
      <c r="B56" s="169"/>
      <c r="C56" s="169"/>
      <c r="D56" s="2" t="s">
        <v>44</v>
      </c>
      <c r="E56" s="3" t="s">
        <v>18</v>
      </c>
      <c r="F56" s="3" t="s">
        <v>45</v>
      </c>
      <c r="G56" s="3"/>
      <c r="H56" s="3"/>
      <c r="I56" s="3"/>
      <c r="J56" s="3"/>
      <c r="K56" s="3"/>
      <c r="L56" s="3"/>
      <c r="M56" s="3"/>
    </row>
    <row r="57" spans="2:13" x14ac:dyDescent="0.35">
      <c r="B57" s="169"/>
      <c r="C57" s="169"/>
      <c r="D57" s="3" t="s">
        <v>114</v>
      </c>
      <c r="E57" s="3" t="s">
        <v>97</v>
      </c>
      <c r="F57" s="3" t="s">
        <v>115</v>
      </c>
      <c r="G57" s="3"/>
      <c r="H57" s="3"/>
      <c r="I57" s="3"/>
      <c r="J57" s="3"/>
      <c r="K57" s="3"/>
      <c r="L57" s="3"/>
      <c r="M57" s="3"/>
    </row>
    <row r="58" spans="2:13" x14ac:dyDescent="0.35">
      <c r="B58" s="169"/>
      <c r="C58" s="169"/>
      <c r="D58" s="3" t="s">
        <v>116</v>
      </c>
      <c r="E58" s="3"/>
      <c r="F58" s="3"/>
      <c r="G58" s="3"/>
      <c r="H58" s="3"/>
      <c r="I58" s="3"/>
      <c r="J58" s="3"/>
      <c r="K58" s="3"/>
      <c r="L58" s="3"/>
      <c r="M58" s="3"/>
    </row>
    <row r="59" spans="2:13" x14ac:dyDescent="0.35">
      <c r="B59" s="169"/>
      <c r="C59" s="169"/>
      <c r="D59" s="3" t="s">
        <v>117</v>
      </c>
      <c r="E59" s="3"/>
      <c r="F59" s="3"/>
      <c r="G59" s="3"/>
      <c r="H59" s="3"/>
      <c r="I59" s="3"/>
      <c r="J59" s="3"/>
      <c r="K59" s="3"/>
      <c r="L59" s="3"/>
      <c r="M59" s="3"/>
    </row>
    <row r="60" spans="2:13" x14ac:dyDescent="0.35">
      <c r="B60" s="169"/>
      <c r="C60" s="169"/>
      <c r="D60" s="3" t="s">
        <v>38</v>
      </c>
      <c r="E60" s="3" t="s">
        <v>118</v>
      </c>
      <c r="F60" s="3" t="s">
        <v>119</v>
      </c>
      <c r="G60" s="3"/>
      <c r="H60" s="3"/>
      <c r="I60" s="3"/>
      <c r="J60" s="3"/>
      <c r="K60" s="3"/>
      <c r="L60" s="3"/>
      <c r="M60" s="3"/>
    </row>
    <row r="61" spans="2:13" x14ac:dyDescent="0.35">
      <c r="B61" s="169"/>
      <c r="C61" s="169"/>
      <c r="D61" s="45" t="s">
        <v>120</v>
      </c>
      <c r="E61" s="3"/>
      <c r="F61" s="3"/>
      <c r="G61" s="3"/>
      <c r="H61" s="3"/>
      <c r="I61" s="3"/>
      <c r="J61" s="3"/>
      <c r="K61" s="3"/>
      <c r="L61" s="3"/>
      <c r="M61" s="3"/>
    </row>
    <row r="62" spans="2:13" x14ac:dyDescent="0.35">
      <c r="B62" s="169">
        <v>7</v>
      </c>
      <c r="C62" s="169" t="s">
        <v>121</v>
      </c>
      <c r="D62" s="43" t="s">
        <v>122</v>
      </c>
      <c r="E62" s="10" t="s">
        <v>123</v>
      </c>
      <c r="F62" s="10" t="s">
        <v>124</v>
      </c>
      <c r="G62" s="10"/>
      <c r="H62" s="10"/>
      <c r="I62" s="10"/>
      <c r="J62" s="3"/>
      <c r="K62" s="3"/>
      <c r="L62" s="3"/>
      <c r="M62" s="3"/>
    </row>
    <row r="63" spans="2:13" x14ac:dyDescent="0.35">
      <c r="B63" s="169"/>
      <c r="C63" s="169"/>
      <c r="D63" s="3" t="s">
        <v>125</v>
      </c>
      <c r="E63" s="18" t="s">
        <v>126</v>
      </c>
      <c r="F63" s="3" t="s">
        <v>70</v>
      </c>
      <c r="G63" s="3"/>
      <c r="H63" s="3"/>
      <c r="I63" s="3"/>
      <c r="J63" s="3"/>
      <c r="K63" s="3"/>
      <c r="L63" s="3"/>
      <c r="M63" s="3"/>
    </row>
    <row r="64" spans="2:13" x14ac:dyDescent="0.35">
      <c r="B64" s="169"/>
      <c r="C64" s="169"/>
      <c r="D64" s="3" t="s">
        <v>71</v>
      </c>
      <c r="E64" s="19"/>
      <c r="F64" s="76"/>
      <c r="G64" s="76"/>
      <c r="H64" s="76"/>
      <c r="I64" s="76"/>
      <c r="J64" s="3"/>
      <c r="K64" s="3"/>
      <c r="L64" s="3"/>
      <c r="M64" s="3"/>
    </row>
    <row r="65" spans="2:13" x14ac:dyDescent="0.35">
      <c r="B65" s="169"/>
      <c r="C65" s="169"/>
      <c r="D65" s="3" t="s">
        <v>127</v>
      </c>
      <c r="E65" s="3" t="s">
        <v>126</v>
      </c>
      <c r="F65" s="3" t="s">
        <v>128</v>
      </c>
      <c r="G65" s="3"/>
      <c r="H65" s="3"/>
      <c r="I65" s="3"/>
      <c r="J65" s="3"/>
      <c r="K65" s="3"/>
      <c r="L65" s="3"/>
      <c r="M65" s="3"/>
    </row>
    <row r="66" spans="2:13" x14ac:dyDescent="0.35">
      <c r="B66" s="169"/>
      <c r="C66" s="169"/>
      <c r="D66" s="3" t="s">
        <v>129</v>
      </c>
      <c r="E66" s="18" t="s">
        <v>62</v>
      </c>
      <c r="F66" s="18" t="s">
        <v>130</v>
      </c>
      <c r="G66" s="18"/>
      <c r="H66" s="18"/>
      <c r="I66" s="18"/>
      <c r="J66" s="3"/>
      <c r="K66" s="3"/>
      <c r="L66" s="3"/>
      <c r="M66" s="3"/>
    </row>
    <row r="67" spans="2:13" x14ac:dyDescent="0.35">
      <c r="B67" s="169"/>
      <c r="C67" s="169"/>
      <c r="D67" s="3" t="s">
        <v>131</v>
      </c>
      <c r="E67" s="10" t="s">
        <v>62</v>
      </c>
      <c r="F67" s="10" t="s">
        <v>132</v>
      </c>
      <c r="G67" s="10"/>
      <c r="H67" s="10"/>
      <c r="I67" s="10"/>
      <c r="J67" s="3"/>
      <c r="K67" s="3"/>
      <c r="L67" s="3"/>
      <c r="M67" s="3"/>
    </row>
  </sheetData>
  <mergeCells count="18">
    <mergeCell ref="B32:B49"/>
    <mergeCell ref="C32:C49"/>
    <mergeCell ref="B50:B61"/>
    <mergeCell ref="C50:C61"/>
    <mergeCell ref="B62:B67"/>
    <mergeCell ref="C62:C67"/>
    <mergeCell ref="H2:H3"/>
    <mergeCell ref="J2:M2"/>
    <mergeCell ref="B4:B11"/>
    <mergeCell ref="B12:B23"/>
    <mergeCell ref="B24:B25"/>
    <mergeCell ref="F2:F3"/>
    <mergeCell ref="G2:G3"/>
    <mergeCell ref="B26:B31"/>
    <mergeCell ref="B2:B3"/>
    <mergeCell ref="C2:C3"/>
    <mergeCell ref="D2:D3"/>
    <mergeCell ref="E2:E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9FD0C8-106C-4C83-AF06-346874FADF60}">
  <dimension ref="B1:AH101"/>
  <sheetViews>
    <sheetView topLeftCell="D4" zoomScale="50" zoomScaleNormal="50" workbookViewId="0">
      <selection activeCell="L19" sqref="L19"/>
    </sheetView>
  </sheetViews>
  <sheetFormatPr defaultRowHeight="14.5" x14ac:dyDescent="0.35"/>
  <cols>
    <col min="2" max="2" width="5" bestFit="1" customWidth="1"/>
    <col min="3" max="3" width="19.81640625" bestFit="1" customWidth="1"/>
    <col min="4" max="4" width="39" customWidth="1"/>
    <col min="5" max="5" width="29.1796875" customWidth="1"/>
    <col min="6" max="6" width="33.54296875" bestFit="1" customWidth="1"/>
    <col min="7" max="7" width="16.1796875" bestFit="1" customWidth="1"/>
    <col min="8" max="8" width="47.54296875" style="71" bestFit="1" customWidth="1"/>
    <col min="9" max="10" width="16.1796875" customWidth="1"/>
    <col min="11" max="11" width="13.1796875" bestFit="1" customWidth="1"/>
    <col min="12" max="12" width="23.453125" customWidth="1"/>
    <col min="13" max="13" width="20.26953125" bestFit="1" customWidth="1"/>
    <col min="14" max="14" width="17" customWidth="1"/>
    <col min="15" max="15" width="29.1796875" bestFit="1" customWidth="1"/>
    <col min="16" max="16" width="17" customWidth="1"/>
    <col min="17" max="17" width="15" bestFit="1" customWidth="1"/>
    <col min="18" max="18" width="17" customWidth="1"/>
    <col min="19" max="19" width="20.26953125" bestFit="1" customWidth="1"/>
    <col min="20" max="22" width="17" customWidth="1"/>
    <col min="23" max="23" width="15" bestFit="1" customWidth="1"/>
    <col min="24" max="24" width="17" bestFit="1" customWidth="1"/>
    <col min="26" max="26" width="17" bestFit="1" customWidth="1"/>
    <col min="27" max="28" width="17" customWidth="1"/>
    <col min="29" max="29" width="47.1796875" bestFit="1" customWidth="1"/>
  </cols>
  <sheetData>
    <row r="1" spans="5:17" x14ac:dyDescent="0.35">
      <c r="F1" t="s">
        <v>133</v>
      </c>
      <c r="H1" s="71" t="s">
        <v>134</v>
      </c>
      <c r="L1" t="s">
        <v>135</v>
      </c>
      <c r="N1" s="4" t="s">
        <v>8</v>
      </c>
      <c r="O1" s="4" t="s">
        <v>9</v>
      </c>
      <c r="P1" s="4" t="s">
        <v>10</v>
      </c>
      <c r="Q1" s="4" t="s">
        <v>11</v>
      </c>
    </row>
    <row r="2" spans="5:17" x14ac:dyDescent="0.35">
      <c r="E2">
        <v>1</v>
      </c>
      <c r="F2" t="s">
        <v>136</v>
      </c>
      <c r="G2" s="82" t="s">
        <v>137</v>
      </c>
      <c r="H2" s="70" t="s">
        <v>138</v>
      </c>
      <c r="I2" t="s">
        <v>139</v>
      </c>
      <c r="L2" t="s">
        <v>140</v>
      </c>
      <c r="M2" s="6" t="s">
        <v>137</v>
      </c>
      <c r="N2">
        <f>COUNTIFS(K$24:K$101,$M2)</f>
        <v>5</v>
      </c>
      <c r="O2">
        <f>COUNTIFS(L$24:L$101,$M2)</f>
        <v>5</v>
      </c>
      <c r="P2">
        <f>COUNTIFS(M$24:M$101,$M2)</f>
        <v>5</v>
      </c>
      <c r="Q2">
        <f>COUNTIFS(N$24:N$101,$M2)</f>
        <v>5</v>
      </c>
    </row>
    <row r="3" spans="5:17" x14ac:dyDescent="0.35">
      <c r="E3">
        <v>2</v>
      </c>
      <c r="F3" t="s">
        <v>141</v>
      </c>
      <c r="G3" s="83" t="s">
        <v>142</v>
      </c>
      <c r="H3" s="70" t="s">
        <v>143</v>
      </c>
      <c r="I3" t="s">
        <v>144</v>
      </c>
      <c r="L3" t="s">
        <v>145</v>
      </c>
      <c r="M3" s="6" t="s">
        <v>142</v>
      </c>
      <c r="N3">
        <f>COUNTIFS(K$24:K$101,M3)</f>
        <v>15</v>
      </c>
      <c r="O3">
        <f t="shared" ref="O3:Q7" si="0">COUNTIFS(L$24:L$101,$M3)</f>
        <v>12</v>
      </c>
      <c r="P3">
        <f t="shared" si="0"/>
        <v>12</v>
      </c>
      <c r="Q3">
        <f t="shared" si="0"/>
        <v>12</v>
      </c>
    </row>
    <row r="4" spans="5:17" x14ac:dyDescent="0.35">
      <c r="E4">
        <v>3</v>
      </c>
      <c r="F4" t="s">
        <v>146</v>
      </c>
      <c r="G4" s="84" t="s">
        <v>147</v>
      </c>
      <c r="H4" s="70" t="s">
        <v>148</v>
      </c>
      <c r="I4" t="s">
        <v>144</v>
      </c>
      <c r="L4" t="s">
        <v>145</v>
      </c>
      <c r="M4" s="6" t="s">
        <v>147</v>
      </c>
      <c r="N4">
        <f>COUNTIFS(K$24:K$101,M4)</f>
        <v>9</v>
      </c>
      <c r="O4">
        <f t="shared" si="0"/>
        <v>11</v>
      </c>
      <c r="P4">
        <f t="shared" si="0"/>
        <v>11</v>
      </c>
      <c r="Q4">
        <f t="shared" si="0"/>
        <v>10</v>
      </c>
    </row>
    <row r="5" spans="5:17" x14ac:dyDescent="0.35">
      <c r="E5">
        <v>4</v>
      </c>
      <c r="F5" t="s">
        <v>146</v>
      </c>
      <c r="G5" s="85" t="s">
        <v>149</v>
      </c>
      <c r="H5" s="71" t="s">
        <v>150</v>
      </c>
      <c r="M5" s="97" t="s">
        <v>149</v>
      </c>
      <c r="N5">
        <f>COUNTIFS(K$24:K$101,M5)</f>
        <v>6</v>
      </c>
      <c r="O5">
        <f t="shared" si="0"/>
        <v>5</v>
      </c>
      <c r="P5">
        <f t="shared" si="0"/>
        <v>5</v>
      </c>
      <c r="Q5">
        <f t="shared" si="0"/>
        <v>5</v>
      </c>
    </row>
    <row r="6" spans="5:17" x14ac:dyDescent="0.35">
      <c r="E6">
        <v>5</v>
      </c>
      <c r="F6" t="s">
        <v>151</v>
      </c>
      <c r="G6" s="81" t="s">
        <v>152</v>
      </c>
      <c r="H6" s="70" t="s">
        <v>151</v>
      </c>
      <c r="I6" t="s">
        <v>153</v>
      </c>
      <c r="M6" s="6" t="s">
        <v>152</v>
      </c>
      <c r="N6">
        <f>COUNTIFS(K$24:K$101,M6)</f>
        <v>4</v>
      </c>
      <c r="O6">
        <f t="shared" si="0"/>
        <v>3</v>
      </c>
      <c r="P6">
        <f t="shared" si="0"/>
        <v>3</v>
      </c>
      <c r="Q6">
        <f t="shared" si="0"/>
        <v>4</v>
      </c>
    </row>
    <row r="7" spans="5:17" x14ac:dyDescent="0.35">
      <c r="M7" s="6" t="s">
        <v>154</v>
      </c>
      <c r="N7">
        <f>COUNTIFS(K$24:K$101,M7)</f>
        <v>39</v>
      </c>
      <c r="O7">
        <f t="shared" si="0"/>
        <v>42</v>
      </c>
      <c r="P7">
        <f t="shared" si="0"/>
        <v>42</v>
      </c>
      <c r="Q7">
        <f t="shared" si="0"/>
        <v>42</v>
      </c>
    </row>
    <row r="8" spans="5:17" x14ac:dyDescent="0.35">
      <c r="M8" s="6" t="s">
        <v>155</v>
      </c>
      <c r="N8">
        <f>SUM(N2:N7)</f>
        <v>78</v>
      </c>
      <c r="O8">
        <f>SUM(O2:O7)</f>
        <v>78</v>
      </c>
      <c r="P8">
        <f>SUM(P2:P7)</f>
        <v>78</v>
      </c>
      <c r="Q8">
        <f>SUM(Q2:Q7)</f>
        <v>78</v>
      </c>
    </row>
    <row r="9" spans="5:17" x14ac:dyDescent="0.35">
      <c r="M9" s="6"/>
    </row>
    <row r="10" spans="5:17" x14ac:dyDescent="0.35">
      <c r="M10" s="6"/>
    </row>
    <row r="11" spans="5:17" x14ac:dyDescent="0.35">
      <c r="E11" t="s">
        <v>156</v>
      </c>
      <c r="F11">
        <v>1000</v>
      </c>
      <c r="M11" s="6"/>
    </row>
    <row r="12" spans="5:17" x14ac:dyDescent="0.35">
      <c r="E12" t="s">
        <v>157</v>
      </c>
      <c r="F12">
        <v>200</v>
      </c>
      <c r="M12" s="60"/>
    </row>
    <row r="14" spans="5:17" x14ac:dyDescent="0.35">
      <c r="E14" t="s">
        <v>158</v>
      </c>
      <c r="F14">
        <v>800</v>
      </c>
      <c r="G14">
        <v>1100</v>
      </c>
    </row>
    <row r="15" spans="5:17" x14ac:dyDescent="0.35">
      <c r="E15" t="s">
        <v>159</v>
      </c>
      <c r="F15">
        <v>1000</v>
      </c>
      <c r="G15">
        <v>1200</v>
      </c>
    </row>
    <row r="21" spans="2:34" x14ac:dyDescent="0.35">
      <c r="J21" s="58"/>
      <c r="K21" s="174" t="s">
        <v>160</v>
      </c>
      <c r="L21" s="175"/>
      <c r="M21" s="175"/>
      <c r="N21" s="175"/>
      <c r="O21" s="175"/>
      <c r="P21" s="176"/>
      <c r="Q21" s="174" t="s">
        <v>161</v>
      </c>
      <c r="R21" s="175"/>
      <c r="S21" s="175"/>
      <c r="T21" s="175"/>
      <c r="U21" s="175"/>
      <c r="V21" s="176"/>
      <c r="W21" s="174" t="s">
        <v>162</v>
      </c>
      <c r="X21" s="175"/>
      <c r="Y21" s="175"/>
      <c r="Z21" s="175"/>
      <c r="AA21" s="175"/>
      <c r="AB21" s="176"/>
      <c r="AC21" s="177" t="s">
        <v>163</v>
      </c>
      <c r="AD21" s="178"/>
      <c r="AE21" s="178"/>
      <c r="AF21" s="178"/>
      <c r="AG21" s="178"/>
      <c r="AH21" s="178"/>
    </row>
    <row r="22" spans="2:34" x14ac:dyDescent="0.35">
      <c r="B22" s="87"/>
      <c r="C22" s="89"/>
      <c r="D22" s="87"/>
      <c r="E22" s="87"/>
      <c r="F22" s="87"/>
      <c r="G22" s="87"/>
      <c r="H22" s="58"/>
      <c r="I22" s="87"/>
      <c r="J22" s="58"/>
      <c r="K22" s="48"/>
      <c r="L22" s="48"/>
      <c r="M22" s="48"/>
      <c r="N22" s="48"/>
      <c r="O22" s="48"/>
      <c r="P22" s="48"/>
      <c r="Q22" s="48" t="s">
        <v>164</v>
      </c>
      <c r="R22" s="48" t="s">
        <v>165</v>
      </c>
      <c r="S22" s="48"/>
      <c r="T22" s="48"/>
      <c r="U22" s="48"/>
      <c r="V22" s="48"/>
      <c r="W22" s="48"/>
      <c r="X22" s="48"/>
      <c r="Y22" s="48"/>
      <c r="Z22" s="48"/>
      <c r="AA22" s="48"/>
      <c r="AB22" s="48"/>
      <c r="AC22" s="48"/>
      <c r="AD22" s="48"/>
      <c r="AE22" s="48"/>
      <c r="AF22" s="48"/>
    </row>
    <row r="23" spans="2:34" x14ac:dyDescent="0.35">
      <c r="B23" s="87" t="s">
        <v>0</v>
      </c>
      <c r="C23" s="88" t="s">
        <v>79</v>
      </c>
      <c r="D23" s="87" t="s">
        <v>1</v>
      </c>
      <c r="E23" s="87" t="s">
        <v>2</v>
      </c>
      <c r="F23" s="87" t="s">
        <v>3</v>
      </c>
      <c r="G23" s="87" t="s">
        <v>4</v>
      </c>
      <c r="H23" s="58" t="s">
        <v>5</v>
      </c>
      <c r="I23" s="87" t="s">
        <v>6</v>
      </c>
      <c r="J23" s="58"/>
      <c r="K23" s="4" t="s">
        <v>8</v>
      </c>
      <c r="L23" s="4" t="s">
        <v>9</v>
      </c>
      <c r="M23" s="4" t="s">
        <v>10</v>
      </c>
      <c r="N23" s="4" t="s">
        <v>11</v>
      </c>
      <c r="O23" s="4" t="s">
        <v>166</v>
      </c>
      <c r="P23" s="4" t="s">
        <v>167</v>
      </c>
      <c r="Q23" s="4" t="s">
        <v>8</v>
      </c>
      <c r="R23" s="4" t="s">
        <v>9</v>
      </c>
      <c r="S23" s="4" t="s">
        <v>10</v>
      </c>
      <c r="T23" s="4" t="s">
        <v>11</v>
      </c>
      <c r="U23" s="4" t="s">
        <v>166</v>
      </c>
      <c r="V23" s="4" t="s">
        <v>167</v>
      </c>
      <c r="W23" s="4" t="s">
        <v>8</v>
      </c>
      <c r="X23" s="4" t="s">
        <v>9</v>
      </c>
      <c r="Y23" s="4" t="s">
        <v>10</v>
      </c>
      <c r="Z23" s="4" t="s">
        <v>11</v>
      </c>
      <c r="AA23" s="4" t="s">
        <v>166</v>
      </c>
      <c r="AB23" s="4" t="s">
        <v>167</v>
      </c>
      <c r="AC23" s="4" t="s">
        <v>8</v>
      </c>
      <c r="AD23" s="4" t="s">
        <v>9</v>
      </c>
      <c r="AE23" s="4" t="s">
        <v>10</v>
      </c>
      <c r="AF23" s="4" t="s">
        <v>11</v>
      </c>
      <c r="AG23" s="4" t="s">
        <v>166</v>
      </c>
      <c r="AH23" s="4" t="s">
        <v>167</v>
      </c>
    </row>
    <row r="24" spans="2:34" x14ac:dyDescent="0.35">
      <c r="B24" s="6">
        <v>1</v>
      </c>
      <c r="C24" s="6" t="s">
        <v>168</v>
      </c>
      <c r="D24" s="6" t="s">
        <v>121</v>
      </c>
      <c r="E24" s="43" t="s">
        <v>122</v>
      </c>
      <c r="F24" s="10" t="s">
        <v>123</v>
      </c>
      <c r="G24" s="10" t="s">
        <v>124</v>
      </c>
      <c r="H24" s="92"/>
      <c r="I24" s="10"/>
      <c r="J24" s="10"/>
      <c r="K24" s="3" t="s">
        <v>152</v>
      </c>
      <c r="L24" s="3" t="s">
        <v>152</v>
      </c>
      <c r="M24" s="3" t="s">
        <v>152</v>
      </c>
      <c r="N24" s="3" t="s">
        <v>152</v>
      </c>
      <c r="O24" s="3"/>
      <c r="P24" s="3"/>
      <c r="Q24" s="3"/>
      <c r="R24" s="3"/>
      <c r="S24" s="3"/>
      <c r="T24" s="3"/>
      <c r="U24" s="3"/>
      <c r="V24" s="3"/>
      <c r="W24" s="3"/>
      <c r="X24" s="3"/>
      <c r="Y24" s="3"/>
      <c r="Z24" s="3"/>
      <c r="AA24" s="3"/>
      <c r="AB24" s="3"/>
      <c r="AC24" s="3"/>
      <c r="AD24" s="3"/>
      <c r="AE24" s="3"/>
      <c r="AF24" s="3"/>
    </row>
    <row r="25" spans="2:34" x14ac:dyDescent="0.35">
      <c r="B25" s="6">
        <v>2</v>
      </c>
      <c r="C25" s="6" t="s">
        <v>168</v>
      </c>
      <c r="D25" s="6" t="s">
        <v>121</v>
      </c>
      <c r="E25" s="3" t="s">
        <v>125</v>
      </c>
      <c r="F25" s="18" t="s">
        <v>126</v>
      </c>
      <c r="G25" s="3" t="s">
        <v>70</v>
      </c>
      <c r="H25" s="73"/>
      <c r="I25" s="3"/>
      <c r="J25" s="3"/>
      <c r="K25" s="3" t="s">
        <v>137</v>
      </c>
      <c r="L25" s="3" t="s">
        <v>137</v>
      </c>
      <c r="M25" s="3" t="s">
        <v>137</v>
      </c>
      <c r="N25" s="3" t="s">
        <v>137</v>
      </c>
      <c r="O25" s="3"/>
      <c r="P25" s="3"/>
      <c r="Q25" s="3"/>
      <c r="R25" s="3"/>
      <c r="S25" s="3"/>
      <c r="T25" s="3"/>
      <c r="U25" s="3"/>
      <c r="V25" s="3"/>
      <c r="W25" s="3"/>
      <c r="X25" s="3"/>
      <c r="Y25" s="3"/>
      <c r="Z25" s="3"/>
      <c r="AA25" s="3"/>
      <c r="AB25" s="3"/>
      <c r="AC25" s="3"/>
      <c r="AD25" s="3"/>
      <c r="AE25" s="3"/>
      <c r="AF25" s="3"/>
    </row>
    <row r="26" spans="2:34" x14ac:dyDescent="0.35">
      <c r="B26" s="6">
        <v>3</v>
      </c>
      <c r="C26" s="6" t="s">
        <v>168</v>
      </c>
      <c r="D26" s="6" t="s">
        <v>121</v>
      </c>
      <c r="E26" s="3" t="s">
        <v>71</v>
      </c>
      <c r="F26" s="19"/>
      <c r="G26" s="76"/>
      <c r="H26" s="93"/>
      <c r="I26" s="76"/>
      <c r="J26" s="76"/>
      <c r="K26" s="3" t="s">
        <v>137</v>
      </c>
      <c r="L26" s="3" t="s">
        <v>137</v>
      </c>
      <c r="M26" s="3" t="s">
        <v>137</v>
      </c>
      <c r="N26" s="3" t="s">
        <v>137</v>
      </c>
      <c r="O26" s="3"/>
      <c r="P26" s="3"/>
      <c r="Q26" s="3"/>
      <c r="R26" s="3"/>
      <c r="S26" s="3"/>
      <c r="T26" s="3"/>
      <c r="U26" s="3"/>
      <c r="V26" s="3"/>
      <c r="W26" s="3"/>
      <c r="X26" s="3"/>
      <c r="Y26" s="3"/>
      <c r="Z26" s="3"/>
      <c r="AA26" s="3"/>
      <c r="AB26" s="3"/>
      <c r="AC26" s="3"/>
      <c r="AD26" s="3"/>
      <c r="AE26" s="3"/>
      <c r="AF26" s="3"/>
    </row>
    <row r="27" spans="2:34" x14ac:dyDescent="0.35">
      <c r="B27" s="6">
        <v>4</v>
      </c>
      <c r="C27" s="6" t="s">
        <v>168</v>
      </c>
      <c r="D27" s="6" t="s">
        <v>121</v>
      </c>
      <c r="E27" s="43" t="s">
        <v>127</v>
      </c>
      <c r="F27" s="3" t="s">
        <v>126</v>
      </c>
      <c r="G27" s="3" t="s">
        <v>128</v>
      </c>
      <c r="H27" s="73"/>
      <c r="I27" s="3"/>
      <c r="J27" s="3"/>
      <c r="K27" s="3" t="s">
        <v>137</v>
      </c>
      <c r="L27" s="3" t="s">
        <v>137</v>
      </c>
      <c r="M27" s="3" t="s">
        <v>137</v>
      </c>
      <c r="N27" s="3" t="s">
        <v>137</v>
      </c>
      <c r="O27" s="3"/>
      <c r="P27" s="3"/>
      <c r="Q27" s="3"/>
      <c r="R27" s="3"/>
      <c r="S27" s="3"/>
      <c r="T27" s="3"/>
      <c r="U27" s="3"/>
      <c r="V27" s="3"/>
      <c r="W27" s="3"/>
      <c r="X27" s="3"/>
      <c r="Y27" s="3"/>
      <c r="Z27" s="3"/>
      <c r="AA27" s="3"/>
      <c r="AB27" s="3"/>
      <c r="AC27" s="3"/>
      <c r="AD27" s="3"/>
      <c r="AE27" s="3"/>
      <c r="AF27" s="3"/>
    </row>
    <row r="28" spans="2:34" x14ac:dyDescent="0.35">
      <c r="B28" s="6">
        <v>5</v>
      </c>
      <c r="C28" s="6" t="s">
        <v>168</v>
      </c>
      <c r="D28" s="6" t="s">
        <v>121</v>
      </c>
      <c r="E28" s="43" t="s">
        <v>129</v>
      </c>
      <c r="F28" s="18" t="s">
        <v>62</v>
      </c>
      <c r="G28" s="18" t="s">
        <v>130</v>
      </c>
      <c r="H28" s="94"/>
      <c r="I28" s="18"/>
      <c r="J28" s="18"/>
      <c r="K28" s="3" t="s">
        <v>137</v>
      </c>
      <c r="L28" s="3" t="s">
        <v>137</v>
      </c>
      <c r="M28" s="3" t="s">
        <v>137</v>
      </c>
      <c r="N28" s="3" t="s">
        <v>137</v>
      </c>
      <c r="O28" s="3"/>
      <c r="P28" s="3"/>
      <c r="Q28" s="3"/>
      <c r="R28" s="3"/>
      <c r="S28" s="3"/>
      <c r="T28" s="3"/>
      <c r="U28" s="3"/>
      <c r="V28" s="3"/>
      <c r="W28" s="3"/>
      <c r="X28" s="3"/>
      <c r="Y28" s="3"/>
      <c r="Z28" s="3"/>
      <c r="AA28" s="3"/>
      <c r="AB28" s="3"/>
      <c r="AC28" s="3"/>
      <c r="AD28" s="3"/>
      <c r="AE28" s="3"/>
      <c r="AF28" s="3"/>
    </row>
    <row r="29" spans="2:34" x14ac:dyDescent="0.35">
      <c r="B29" s="6">
        <v>6</v>
      </c>
      <c r="C29" s="6" t="s">
        <v>168</v>
      </c>
      <c r="D29" s="6" t="s">
        <v>121</v>
      </c>
      <c r="E29" s="91" t="s">
        <v>131</v>
      </c>
      <c r="F29" s="10" t="s">
        <v>62</v>
      </c>
      <c r="G29" s="10" t="s">
        <v>132</v>
      </c>
      <c r="H29" s="92"/>
      <c r="I29" s="10"/>
      <c r="J29" s="10"/>
      <c r="K29" s="3" t="s">
        <v>154</v>
      </c>
      <c r="L29" s="3" t="s">
        <v>154</v>
      </c>
      <c r="M29" s="3" t="s">
        <v>154</v>
      </c>
      <c r="N29" s="3" t="s">
        <v>154</v>
      </c>
      <c r="O29" s="3"/>
      <c r="P29" s="3"/>
      <c r="Q29" s="3"/>
      <c r="R29" s="3"/>
      <c r="S29" s="3"/>
      <c r="T29" s="3"/>
      <c r="U29" s="3"/>
      <c r="V29" s="3"/>
      <c r="W29" s="3"/>
      <c r="X29" s="3"/>
      <c r="Y29" s="3"/>
      <c r="Z29" s="3"/>
      <c r="AA29" s="3"/>
      <c r="AB29" s="3"/>
      <c r="AC29" s="3"/>
      <c r="AD29" s="3"/>
      <c r="AE29" s="3"/>
      <c r="AF29" s="3"/>
    </row>
    <row r="30" spans="2:34" x14ac:dyDescent="0.35">
      <c r="B30" s="6">
        <v>7</v>
      </c>
      <c r="C30" s="6" t="s">
        <v>169</v>
      </c>
      <c r="D30" s="6" t="s">
        <v>170</v>
      </c>
      <c r="E30" s="3" t="s">
        <v>46</v>
      </c>
      <c r="F30" s="3" t="s">
        <v>47</v>
      </c>
      <c r="G30" s="3" t="s">
        <v>48</v>
      </c>
      <c r="H30" s="73"/>
      <c r="I30" s="3"/>
      <c r="J30" s="3"/>
      <c r="K30" s="3" t="s">
        <v>142</v>
      </c>
      <c r="L30" s="3" t="s">
        <v>142</v>
      </c>
      <c r="M30" s="3" t="s">
        <v>142</v>
      </c>
      <c r="N30" s="3" t="s">
        <v>142</v>
      </c>
      <c r="O30" s="3"/>
      <c r="P30" s="3"/>
      <c r="Q30" s="3"/>
      <c r="R30" s="3"/>
      <c r="S30" s="3"/>
      <c r="T30" s="3"/>
      <c r="U30" s="3"/>
      <c r="V30" s="3"/>
      <c r="W30" s="3"/>
      <c r="X30" s="3"/>
      <c r="Y30" s="3"/>
      <c r="Z30" s="3"/>
      <c r="AA30" s="3"/>
      <c r="AB30" s="3"/>
      <c r="AC30" s="3"/>
      <c r="AD30" s="3"/>
      <c r="AE30" s="3"/>
      <c r="AF30" s="3"/>
    </row>
    <row r="31" spans="2:34" x14ac:dyDescent="0.35">
      <c r="B31" s="6">
        <v>8</v>
      </c>
      <c r="C31" s="6" t="s">
        <v>169</v>
      </c>
      <c r="D31" s="6" t="s">
        <v>170</v>
      </c>
      <c r="E31" s="3" t="s">
        <v>49</v>
      </c>
      <c r="F31" s="3" t="s">
        <v>47</v>
      </c>
      <c r="G31" s="3" t="s">
        <v>50</v>
      </c>
      <c r="H31" s="73"/>
      <c r="I31" s="3"/>
      <c r="J31" s="3"/>
      <c r="K31" s="3" t="s">
        <v>142</v>
      </c>
      <c r="L31" s="3" t="s">
        <v>142</v>
      </c>
      <c r="M31" s="3" t="s">
        <v>142</v>
      </c>
      <c r="N31" s="3" t="s">
        <v>142</v>
      </c>
      <c r="O31" s="3"/>
      <c r="P31" s="3"/>
      <c r="Q31" s="3"/>
      <c r="R31" s="3"/>
      <c r="S31" s="3"/>
      <c r="T31" s="3"/>
      <c r="U31" s="3"/>
      <c r="V31" s="3"/>
      <c r="W31" s="3"/>
      <c r="X31" s="3"/>
      <c r="Y31" s="3"/>
      <c r="Z31" s="3"/>
      <c r="AA31" s="3"/>
      <c r="AB31" s="3"/>
      <c r="AC31" s="3"/>
      <c r="AD31" s="3"/>
      <c r="AE31" s="3"/>
      <c r="AF31" s="3"/>
    </row>
    <row r="32" spans="2:34" x14ac:dyDescent="0.35">
      <c r="B32" s="6">
        <v>9</v>
      </c>
      <c r="C32" s="6" t="s">
        <v>169</v>
      </c>
      <c r="D32" s="6" t="s">
        <v>170</v>
      </c>
      <c r="E32" s="3" t="s">
        <v>51</v>
      </c>
      <c r="F32" s="3"/>
      <c r="G32" s="3"/>
      <c r="H32" s="73"/>
      <c r="I32" s="3"/>
      <c r="J32" s="3"/>
      <c r="K32" s="3" t="s">
        <v>142</v>
      </c>
      <c r="L32" s="3" t="s">
        <v>142</v>
      </c>
      <c r="M32" s="3" t="s">
        <v>142</v>
      </c>
      <c r="N32" s="3" t="s">
        <v>142</v>
      </c>
      <c r="O32" s="3"/>
      <c r="P32" s="3"/>
      <c r="Q32" s="3"/>
      <c r="R32" s="3"/>
      <c r="S32" s="3"/>
      <c r="T32" s="3"/>
      <c r="U32" s="3"/>
      <c r="V32" s="3"/>
      <c r="W32" s="3"/>
      <c r="X32" s="3"/>
      <c r="Y32" s="3"/>
      <c r="Z32" s="3"/>
      <c r="AA32" s="3"/>
      <c r="AB32" s="3"/>
      <c r="AC32" s="3"/>
      <c r="AD32" s="3"/>
      <c r="AE32" s="3"/>
      <c r="AF32" s="3"/>
    </row>
    <row r="33" spans="2:32" x14ac:dyDescent="0.35">
      <c r="B33" s="6">
        <v>10</v>
      </c>
      <c r="C33" s="6" t="s">
        <v>169</v>
      </c>
      <c r="D33" s="6" t="s">
        <v>170</v>
      </c>
      <c r="E33" s="3" t="s">
        <v>44</v>
      </c>
      <c r="F33" s="3" t="s">
        <v>18</v>
      </c>
      <c r="G33" s="3" t="s">
        <v>45</v>
      </c>
      <c r="H33" s="73"/>
      <c r="I33" s="3"/>
      <c r="J33" s="3"/>
      <c r="K33" s="3" t="s">
        <v>142</v>
      </c>
      <c r="L33" s="3" t="s">
        <v>142</v>
      </c>
      <c r="M33" s="3" t="s">
        <v>142</v>
      </c>
      <c r="N33" s="3" t="s">
        <v>142</v>
      </c>
      <c r="O33" s="3"/>
      <c r="P33" s="3"/>
      <c r="Q33" s="3"/>
      <c r="R33" s="3"/>
      <c r="S33" s="3"/>
      <c r="T33" s="3"/>
      <c r="U33" s="3"/>
      <c r="V33" s="3"/>
      <c r="W33" s="3"/>
      <c r="X33" s="3"/>
      <c r="Y33" s="3"/>
      <c r="Z33" s="3"/>
      <c r="AA33" s="3"/>
      <c r="AB33" s="3"/>
      <c r="AC33" s="3"/>
      <c r="AD33" s="3"/>
      <c r="AE33" s="3"/>
      <c r="AF33" s="3"/>
    </row>
    <row r="34" spans="2:32" x14ac:dyDescent="0.35">
      <c r="B34" s="6">
        <v>11</v>
      </c>
      <c r="C34" s="6" t="s">
        <v>169</v>
      </c>
      <c r="D34" s="6" t="s">
        <v>170</v>
      </c>
      <c r="E34" s="3" t="s">
        <v>54</v>
      </c>
      <c r="F34" s="3" t="s">
        <v>18</v>
      </c>
      <c r="G34" s="3" t="s">
        <v>55</v>
      </c>
      <c r="H34" s="73"/>
      <c r="I34" s="3"/>
      <c r="J34" s="3"/>
      <c r="K34" s="3" t="s">
        <v>142</v>
      </c>
      <c r="L34" s="3" t="s">
        <v>142</v>
      </c>
      <c r="M34" s="3" t="s">
        <v>142</v>
      </c>
      <c r="N34" s="3" t="s">
        <v>142</v>
      </c>
      <c r="O34" s="3"/>
      <c r="P34" s="3"/>
      <c r="Q34" s="3" t="s">
        <v>152</v>
      </c>
      <c r="R34" s="3" t="s">
        <v>152</v>
      </c>
      <c r="S34" s="3" t="s">
        <v>152</v>
      </c>
      <c r="T34" s="3" t="s">
        <v>152</v>
      </c>
      <c r="U34" s="3"/>
      <c r="V34" s="3"/>
      <c r="W34" s="3" t="s">
        <v>147</v>
      </c>
      <c r="X34" s="3" t="s">
        <v>147</v>
      </c>
      <c r="Y34" s="3" t="s">
        <v>147</v>
      </c>
      <c r="Z34" s="3" t="s">
        <v>147</v>
      </c>
      <c r="AA34" s="3"/>
      <c r="AB34" s="3"/>
      <c r="AC34" s="3" t="s">
        <v>147</v>
      </c>
      <c r="AD34" s="3" t="s">
        <v>147</v>
      </c>
      <c r="AE34" s="3" t="s">
        <v>147</v>
      </c>
      <c r="AF34" s="3" t="s">
        <v>147</v>
      </c>
    </row>
    <row r="35" spans="2:32" x14ac:dyDescent="0.35">
      <c r="B35" s="6">
        <v>12</v>
      </c>
      <c r="C35" s="6" t="s">
        <v>169</v>
      </c>
      <c r="D35" s="6" t="s">
        <v>170</v>
      </c>
      <c r="E35" s="22" t="s">
        <v>56</v>
      </c>
      <c r="F35" s="3"/>
      <c r="G35" s="3"/>
      <c r="H35" s="73"/>
      <c r="I35" s="3"/>
      <c r="J35" s="3"/>
      <c r="K35" s="3" t="s">
        <v>149</v>
      </c>
      <c r="L35" s="3" t="s">
        <v>149</v>
      </c>
      <c r="M35" s="3" t="s">
        <v>149</v>
      </c>
      <c r="N35" s="3" t="s">
        <v>149</v>
      </c>
      <c r="O35" s="3"/>
      <c r="P35" s="3"/>
      <c r="Q35" s="3"/>
      <c r="R35" s="3"/>
      <c r="S35" s="3"/>
      <c r="T35" s="3"/>
      <c r="U35" s="3"/>
      <c r="V35" s="3"/>
      <c r="W35" s="3"/>
      <c r="X35" s="3"/>
      <c r="Y35" s="3"/>
      <c r="Z35" s="3"/>
      <c r="AA35" s="3"/>
      <c r="AB35" s="3"/>
      <c r="AC35" s="3"/>
      <c r="AD35" s="3"/>
      <c r="AE35" s="3"/>
      <c r="AF35" s="3"/>
    </row>
    <row r="36" spans="2:32" x14ac:dyDescent="0.35">
      <c r="B36" s="6">
        <v>13</v>
      </c>
      <c r="C36" s="6" t="s">
        <v>169</v>
      </c>
      <c r="D36" s="6" t="s">
        <v>170</v>
      </c>
      <c r="E36" s="22" t="s">
        <v>171</v>
      </c>
      <c r="F36" s="3"/>
      <c r="G36" s="3"/>
      <c r="H36" s="73"/>
      <c r="I36" s="3"/>
      <c r="J36" s="3"/>
      <c r="K36" s="3" t="s">
        <v>152</v>
      </c>
      <c r="L36" s="3" t="s">
        <v>147</v>
      </c>
      <c r="M36" s="3" t="s">
        <v>147</v>
      </c>
      <c r="N36" s="3" t="s">
        <v>152</v>
      </c>
      <c r="O36" s="3"/>
      <c r="P36" s="3"/>
      <c r="Q36" s="3"/>
      <c r="R36" s="3"/>
      <c r="S36" s="3"/>
      <c r="T36" s="3"/>
      <c r="U36" s="3"/>
      <c r="V36" s="3"/>
      <c r="W36" s="3"/>
      <c r="X36" s="3"/>
      <c r="Y36" s="3"/>
      <c r="Z36" s="3"/>
      <c r="AA36" s="3"/>
      <c r="AB36" s="3"/>
      <c r="AC36" s="3"/>
      <c r="AD36" s="3"/>
      <c r="AE36" s="3"/>
      <c r="AF36" s="3"/>
    </row>
    <row r="37" spans="2:32" x14ac:dyDescent="0.35">
      <c r="B37" s="6">
        <v>14</v>
      </c>
      <c r="C37" s="6" t="s">
        <v>172</v>
      </c>
      <c r="D37" s="6" t="s">
        <v>173</v>
      </c>
      <c r="E37" s="91" t="s">
        <v>174</v>
      </c>
      <c r="F37" s="3"/>
      <c r="G37" s="3"/>
      <c r="H37" s="73"/>
      <c r="I37" s="3"/>
      <c r="J37" s="3"/>
      <c r="K37" s="3" t="s">
        <v>142</v>
      </c>
      <c r="L37" s="3" t="s">
        <v>154</v>
      </c>
      <c r="M37" s="3" t="s">
        <v>154</v>
      </c>
      <c r="N37" s="3" t="s">
        <v>154</v>
      </c>
      <c r="O37" s="3"/>
      <c r="P37" s="3"/>
      <c r="Q37" s="3"/>
      <c r="R37" s="3"/>
      <c r="S37" s="3"/>
      <c r="T37" s="3"/>
      <c r="U37" s="3"/>
      <c r="V37" s="3"/>
      <c r="W37" s="3"/>
      <c r="X37" s="3"/>
      <c r="Y37" s="3"/>
      <c r="Z37" s="3"/>
      <c r="AA37" s="3"/>
      <c r="AB37" s="3"/>
      <c r="AC37" s="3"/>
      <c r="AD37" s="3"/>
      <c r="AE37" s="3"/>
      <c r="AF37" s="3"/>
    </row>
    <row r="38" spans="2:32" x14ac:dyDescent="0.35">
      <c r="B38" s="6">
        <v>15</v>
      </c>
      <c r="C38" s="6" t="s">
        <v>172</v>
      </c>
      <c r="D38" s="6" t="s">
        <v>173</v>
      </c>
      <c r="E38" s="3" t="s">
        <v>175</v>
      </c>
      <c r="F38" s="3"/>
      <c r="G38" s="3"/>
      <c r="H38" s="73"/>
      <c r="I38" s="3"/>
      <c r="J38" s="3"/>
      <c r="K38" s="3" t="s">
        <v>154</v>
      </c>
      <c r="L38" s="3" t="s">
        <v>154</v>
      </c>
      <c r="M38" s="3" t="s">
        <v>154</v>
      </c>
      <c r="N38" s="3" t="s">
        <v>154</v>
      </c>
      <c r="O38" s="3"/>
      <c r="P38" s="3"/>
      <c r="Q38" s="3"/>
      <c r="R38" s="3"/>
      <c r="S38" s="3"/>
      <c r="T38" s="3"/>
      <c r="U38" s="3"/>
      <c r="V38" s="3"/>
      <c r="W38" s="3"/>
      <c r="X38" s="3"/>
      <c r="Y38" s="3"/>
      <c r="Z38" s="3"/>
      <c r="AA38" s="3"/>
      <c r="AB38" s="3"/>
      <c r="AC38" s="3"/>
      <c r="AD38" s="3"/>
      <c r="AE38" s="3"/>
      <c r="AF38" s="3"/>
    </row>
    <row r="39" spans="2:32" x14ac:dyDescent="0.35">
      <c r="B39" s="6">
        <v>17</v>
      </c>
      <c r="C39" s="6" t="s">
        <v>172</v>
      </c>
      <c r="D39" s="6" t="s">
        <v>176</v>
      </c>
      <c r="E39" s="3" t="s">
        <v>177</v>
      </c>
      <c r="F39" s="3"/>
      <c r="G39" s="3"/>
      <c r="H39" s="73"/>
      <c r="I39" s="3"/>
      <c r="J39" s="3"/>
      <c r="K39" s="3" t="s">
        <v>142</v>
      </c>
      <c r="L39" s="3" t="s">
        <v>154</v>
      </c>
      <c r="M39" s="3" t="s">
        <v>154</v>
      </c>
      <c r="N39" s="3" t="s">
        <v>154</v>
      </c>
      <c r="O39" s="3"/>
      <c r="P39" s="3"/>
      <c r="Q39" s="3"/>
      <c r="R39" s="3"/>
      <c r="S39" s="3"/>
      <c r="T39" s="3"/>
      <c r="U39" s="3"/>
      <c r="V39" s="3"/>
      <c r="W39" s="3"/>
      <c r="X39" s="3"/>
      <c r="Y39" s="3"/>
      <c r="Z39" s="3"/>
      <c r="AA39" s="3"/>
      <c r="AB39" s="3"/>
      <c r="AC39" s="3"/>
      <c r="AD39" s="3"/>
      <c r="AE39" s="3"/>
      <c r="AF39" s="3"/>
    </row>
    <row r="40" spans="2:32" x14ac:dyDescent="0.35">
      <c r="B40" s="6">
        <v>18</v>
      </c>
      <c r="C40" s="6" t="s">
        <v>172</v>
      </c>
      <c r="D40" s="6" t="s">
        <v>178</v>
      </c>
      <c r="E40" s="3" t="s">
        <v>179</v>
      </c>
      <c r="F40" s="3"/>
      <c r="G40" s="3"/>
      <c r="H40" s="73"/>
      <c r="I40" s="3"/>
      <c r="J40" s="3"/>
      <c r="K40" s="3" t="s">
        <v>142</v>
      </c>
      <c r="L40" s="3" t="s">
        <v>154</v>
      </c>
      <c r="M40" s="3" t="s">
        <v>154</v>
      </c>
      <c r="N40" s="3" t="s">
        <v>154</v>
      </c>
      <c r="O40" s="3"/>
      <c r="P40" s="3"/>
      <c r="Q40" s="3"/>
      <c r="R40" s="3"/>
      <c r="S40" s="3"/>
      <c r="T40" s="3"/>
      <c r="U40" s="3"/>
      <c r="V40" s="3"/>
      <c r="W40" s="3"/>
      <c r="X40" s="3"/>
      <c r="Y40" s="3"/>
      <c r="Z40" s="3"/>
      <c r="AA40" s="3"/>
      <c r="AB40" s="3"/>
      <c r="AC40" s="3"/>
      <c r="AD40" s="3"/>
      <c r="AE40" s="3"/>
      <c r="AF40" s="3"/>
    </row>
    <row r="41" spans="2:32" x14ac:dyDescent="0.35">
      <c r="B41" s="6">
        <v>19</v>
      </c>
      <c r="C41" s="6" t="s">
        <v>172</v>
      </c>
      <c r="D41" s="6" t="s">
        <v>178</v>
      </c>
      <c r="E41" s="3" t="s">
        <v>180</v>
      </c>
      <c r="F41" s="3"/>
      <c r="G41" s="3"/>
      <c r="H41" s="73"/>
      <c r="I41" s="3"/>
      <c r="J41" s="3"/>
      <c r="K41" s="3" t="s">
        <v>149</v>
      </c>
      <c r="L41" s="3" t="s">
        <v>154</v>
      </c>
      <c r="M41" s="3" t="s">
        <v>154</v>
      </c>
      <c r="N41" s="3" t="s">
        <v>154</v>
      </c>
      <c r="O41" s="3"/>
      <c r="P41" s="3"/>
      <c r="Q41" s="3"/>
      <c r="R41" s="3"/>
      <c r="S41" s="3"/>
      <c r="T41" s="3"/>
      <c r="U41" s="3"/>
      <c r="V41" s="3"/>
      <c r="W41" s="3"/>
      <c r="X41" s="3"/>
      <c r="Y41" s="3"/>
      <c r="Z41" s="3"/>
      <c r="AA41" s="3"/>
      <c r="AB41" s="3"/>
      <c r="AC41" s="3"/>
      <c r="AD41" s="3"/>
      <c r="AE41" s="3"/>
      <c r="AF41" s="3"/>
    </row>
    <row r="42" spans="2:32" x14ac:dyDescent="0.35">
      <c r="B42" s="6">
        <v>20</v>
      </c>
      <c r="C42" s="6" t="s">
        <v>181</v>
      </c>
      <c r="D42" s="6" t="s">
        <v>182</v>
      </c>
      <c r="E42" s="43" t="s">
        <v>183</v>
      </c>
      <c r="F42" s="3"/>
      <c r="G42" s="3"/>
      <c r="H42" s="73"/>
      <c r="I42" s="3"/>
      <c r="J42" s="3"/>
      <c r="K42" s="3" t="s">
        <v>154</v>
      </c>
      <c r="L42" s="3" t="s">
        <v>154</v>
      </c>
      <c r="M42" s="3" t="s">
        <v>154</v>
      </c>
      <c r="N42" s="3" t="s">
        <v>154</v>
      </c>
      <c r="O42" s="3"/>
      <c r="P42" s="3"/>
      <c r="Q42" s="3"/>
      <c r="R42" s="3"/>
      <c r="S42" s="3"/>
      <c r="T42" s="3"/>
      <c r="U42" s="3"/>
      <c r="V42" s="3"/>
      <c r="W42" s="3"/>
      <c r="X42" s="3"/>
      <c r="Y42" s="3"/>
      <c r="Z42" s="3"/>
      <c r="AA42" s="3"/>
      <c r="AB42" s="3"/>
      <c r="AC42" s="3"/>
      <c r="AD42" s="3"/>
      <c r="AE42" s="3"/>
      <c r="AF42" s="3"/>
    </row>
    <row r="43" spans="2:32" x14ac:dyDescent="0.35">
      <c r="B43" s="6">
        <v>21</v>
      </c>
      <c r="C43" s="6" t="s">
        <v>181</v>
      </c>
      <c r="D43" s="6" t="s">
        <v>182</v>
      </c>
      <c r="E43" s="43" t="s">
        <v>184</v>
      </c>
      <c r="F43" s="3"/>
      <c r="G43" s="3"/>
      <c r="H43" s="73"/>
      <c r="I43" s="3"/>
      <c r="J43" s="3"/>
      <c r="K43" s="3" t="s">
        <v>154</v>
      </c>
      <c r="L43" s="3" t="s">
        <v>154</v>
      </c>
      <c r="M43" s="3" t="s">
        <v>154</v>
      </c>
      <c r="N43" s="3" t="s">
        <v>154</v>
      </c>
      <c r="O43" s="3"/>
      <c r="P43" s="3"/>
      <c r="Q43" s="3"/>
      <c r="R43" s="3"/>
      <c r="S43" s="3"/>
      <c r="T43" s="3"/>
      <c r="U43" s="3"/>
      <c r="V43" s="3"/>
      <c r="W43" s="3"/>
      <c r="X43" s="3"/>
      <c r="Y43" s="3"/>
      <c r="Z43" s="3"/>
      <c r="AA43" s="3"/>
      <c r="AB43" s="3"/>
      <c r="AC43" s="3"/>
      <c r="AD43" s="3"/>
      <c r="AE43" s="3"/>
      <c r="AF43" s="3"/>
    </row>
    <row r="44" spans="2:32" x14ac:dyDescent="0.35">
      <c r="B44" s="6">
        <v>22</v>
      </c>
      <c r="C44" s="6" t="s">
        <v>181</v>
      </c>
      <c r="D44" s="6" t="s">
        <v>182</v>
      </c>
      <c r="E44" s="3" t="s">
        <v>185</v>
      </c>
      <c r="F44" s="3"/>
      <c r="G44" s="3"/>
      <c r="H44" s="73"/>
      <c r="I44" s="3"/>
      <c r="J44" s="3"/>
      <c r="K44" s="3" t="s">
        <v>154</v>
      </c>
      <c r="L44" s="3" t="s">
        <v>154</v>
      </c>
      <c r="M44" s="3" t="s">
        <v>154</v>
      </c>
      <c r="N44" s="3" t="s">
        <v>154</v>
      </c>
      <c r="O44" s="3"/>
      <c r="P44" s="3"/>
      <c r="Q44" s="3"/>
      <c r="R44" s="3"/>
      <c r="S44" s="3"/>
      <c r="T44" s="3"/>
      <c r="U44" s="3"/>
      <c r="V44" s="3"/>
      <c r="W44" s="3"/>
      <c r="X44" s="3"/>
      <c r="Y44" s="3"/>
      <c r="Z44" s="3"/>
      <c r="AA44" s="3"/>
      <c r="AB44" s="3"/>
      <c r="AC44" s="3"/>
      <c r="AD44" s="3"/>
      <c r="AE44" s="3"/>
      <c r="AF44" s="3"/>
    </row>
    <row r="45" spans="2:32" x14ac:dyDescent="0.35">
      <c r="B45" s="6">
        <v>23</v>
      </c>
      <c r="C45" s="6" t="s">
        <v>181</v>
      </c>
      <c r="D45" s="6" t="s">
        <v>182</v>
      </c>
      <c r="E45" s="3" t="s">
        <v>76</v>
      </c>
      <c r="F45" s="3"/>
      <c r="G45" s="3"/>
      <c r="H45" s="73"/>
      <c r="I45" s="3"/>
      <c r="J45" s="3"/>
      <c r="K45" s="3" t="s">
        <v>154</v>
      </c>
      <c r="L45" s="3" t="s">
        <v>154</v>
      </c>
      <c r="M45" s="3" t="s">
        <v>154</v>
      </c>
      <c r="N45" s="3" t="s">
        <v>154</v>
      </c>
      <c r="O45" s="3"/>
      <c r="P45" s="3"/>
      <c r="Q45" s="3"/>
      <c r="R45" s="3"/>
      <c r="S45" s="3"/>
      <c r="T45" s="3"/>
      <c r="U45" s="3"/>
      <c r="V45" s="3"/>
      <c r="W45" s="3"/>
      <c r="X45" s="3"/>
      <c r="Y45" s="3"/>
      <c r="Z45" s="3"/>
      <c r="AA45" s="3"/>
      <c r="AB45" s="3"/>
      <c r="AC45" s="3"/>
      <c r="AD45" s="3"/>
      <c r="AE45" s="3"/>
      <c r="AF45" s="3"/>
    </row>
    <row r="46" spans="2:32" x14ac:dyDescent="0.35">
      <c r="B46" s="6">
        <v>24</v>
      </c>
      <c r="C46" s="6" t="s">
        <v>181</v>
      </c>
      <c r="D46" s="6" t="s">
        <v>182</v>
      </c>
      <c r="E46" s="3" t="s">
        <v>186</v>
      </c>
      <c r="F46" s="3"/>
      <c r="G46" s="3"/>
      <c r="H46" s="73"/>
      <c r="I46" s="3"/>
      <c r="J46" s="3"/>
      <c r="K46" s="3" t="s">
        <v>154</v>
      </c>
      <c r="L46" s="3" t="s">
        <v>154</v>
      </c>
      <c r="M46" s="3" t="s">
        <v>154</v>
      </c>
      <c r="N46" s="3" t="s">
        <v>154</v>
      </c>
      <c r="O46" s="3"/>
      <c r="P46" s="3"/>
      <c r="Q46" s="3"/>
      <c r="R46" s="3"/>
      <c r="S46" s="3"/>
      <c r="T46" s="3"/>
      <c r="U46" s="3"/>
      <c r="V46" s="3"/>
      <c r="W46" s="3"/>
      <c r="X46" s="3"/>
      <c r="Y46" s="3"/>
      <c r="Z46" s="3"/>
      <c r="AA46" s="3"/>
      <c r="AB46" s="3"/>
      <c r="AC46" s="3"/>
      <c r="AD46" s="3"/>
      <c r="AE46" s="3"/>
      <c r="AF46" s="3"/>
    </row>
    <row r="47" spans="2:32" x14ac:dyDescent="0.35">
      <c r="B47" s="6">
        <v>25</v>
      </c>
      <c r="C47" s="6" t="s">
        <v>181</v>
      </c>
      <c r="D47" s="6" t="s">
        <v>182</v>
      </c>
      <c r="E47" s="3" t="s">
        <v>187</v>
      </c>
      <c r="F47" s="3"/>
      <c r="G47" s="3"/>
      <c r="H47" s="73"/>
      <c r="I47" s="3"/>
      <c r="J47" s="3"/>
      <c r="K47" s="3" t="s">
        <v>154</v>
      </c>
      <c r="L47" s="3" t="s">
        <v>154</v>
      </c>
      <c r="M47" s="3" t="s">
        <v>154</v>
      </c>
      <c r="N47" s="3" t="s">
        <v>154</v>
      </c>
      <c r="O47" s="3"/>
      <c r="P47" s="3"/>
      <c r="Q47" s="3"/>
      <c r="R47" s="3"/>
      <c r="S47" s="3"/>
      <c r="T47" s="3"/>
      <c r="U47" s="3"/>
      <c r="V47" s="3"/>
      <c r="W47" s="3"/>
      <c r="X47" s="3"/>
      <c r="Y47" s="3"/>
      <c r="Z47" s="3"/>
      <c r="AA47" s="3"/>
      <c r="AB47" s="3"/>
      <c r="AC47" s="3"/>
      <c r="AD47" s="3"/>
      <c r="AE47" s="3"/>
      <c r="AF47" s="3"/>
    </row>
    <row r="48" spans="2:32" x14ac:dyDescent="0.35">
      <c r="B48" s="6">
        <v>26</v>
      </c>
      <c r="C48" s="6" t="s">
        <v>181</v>
      </c>
      <c r="D48" s="6" t="s">
        <v>182</v>
      </c>
      <c r="E48" s="3" t="s">
        <v>188</v>
      </c>
      <c r="F48" s="3"/>
      <c r="G48" s="3"/>
      <c r="H48" s="73"/>
      <c r="I48" s="3"/>
      <c r="J48" s="3"/>
      <c r="K48" s="3" t="s">
        <v>154</v>
      </c>
      <c r="L48" s="3" t="s">
        <v>154</v>
      </c>
      <c r="M48" s="3" t="s">
        <v>154</v>
      </c>
      <c r="N48" s="3" t="s">
        <v>154</v>
      </c>
      <c r="O48" s="3"/>
      <c r="P48" s="3"/>
      <c r="Q48" s="3"/>
      <c r="R48" s="3"/>
      <c r="S48" s="3"/>
      <c r="T48" s="3"/>
      <c r="U48" s="3"/>
      <c r="V48" s="3"/>
      <c r="W48" s="3"/>
      <c r="X48" s="3"/>
      <c r="Y48" s="3"/>
      <c r="Z48" s="3"/>
      <c r="AA48" s="3"/>
      <c r="AB48" s="3"/>
      <c r="AC48" s="3"/>
      <c r="AD48" s="3"/>
      <c r="AE48" s="3"/>
      <c r="AF48" s="3"/>
    </row>
    <row r="49" spans="2:32" x14ac:dyDescent="0.35">
      <c r="B49" s="6">
        <v>27</v>
      </c>
      <c r="C49" s="6" t="s">
        <v>181</v>
      </c>
      <c r="D49" s="6" t="s">
        <v>182</v>
      </c>
      <c r="E49" s="3" t="s">
        <v>189</v>
      </c>
      <c r="F49" s="3"/>
      <c r="G49" s="3"/>
      <c r="H49" s="73"/>
      <c r="I49" s="3"/>
      <c r="J49" s="3"/>
      <c r="K49" s="3" t="s">
        <v>154</v>
      </c>
      <c r="L49" s="3" t="s">
        <v>154</v>
      </c>
      <c r="M49" s="3" t="s">
        <v>154</v>
      </c>
      <c r="N49" s="3" t="s">
        <v>154</v>
      </c>
      <c r="O49" s="3"/>
      <c r="P49" s="3"/>
      <c r="Q49" s="3"/>
      <c r="R49" s="3"/>
      <c r="S49" s="3"/>
      <c r="T49" s="3"/>
      <c r="U49" s="3"/>
      <c r="V49" s="3"/>
      <c r="W49" s="3"/>
      <c r="X49" s="3"/>
      <c r="Y49" s="3"/>
      <c r="Z49" s="3"/>
      <c r="AA49" s="3"/>
      <c r="AB49" s="3"/>
      <c r="AC49" s="3"/>
      <c r="AD49" s="3"/>
      <c r="AE49" s="3"/>
      <c r="AF49" s="3"/>
    </row>
    <row r="50" spans="2:32" x14ac:dyDescent="0.35">
      <c r="B50" s="6">
        <v>28</v>
      </c>
      <c r="C50" s="6" t="s">
        <v>181</v>
      </c>
      <c r="D50" s="6" t="s">
        <v>182</v>
      </c>
      <c r="E50" s="3" t="s">
        <v>190</v>
      </c>
      <c r="F50" s="3"/>
      <c r="G50" s="3"/>
      <c r="H50" s="73"/>
      <c r="I50" s="3"/>
      <c r="J50" s="3"/>
      <c r="K50" s="3" t="s">
        <v>154</v>
      </c>
      <c r="L50" s="3" t="s">
        <v>154</v>
      </c>
      <c r="M50" s="3" t="s">
        <v>154</v>
      </c>
      <c r="N50" s="3" t="s">
        <v>154</v>
      </c>
      <c r="O50" s="3"/>
      <c r="P50" s="3"/>
      <c r="Q50" s="3"/>
      <c r="R50" s="3"/>
      <c r="S50" s="3"/>
      <c r="T50" s="3"/>
      <c r="U50" s="3"/>
      <c r="V50" s="3"/>
      <c r="W50" s="3"/>
      <c r="X50" s="3"/>
      <c r="Y50" s="3"/>
      <c r="Z50" s="3"/>
      <c r="AA50" s="3"/>
      <c r="AB50" s="3"/>
      <c r="AC50" s="3"/>
      <c r="AD50" s="3"/>
      <c r="AE50" s="3"/>
      <c r="AF50" s="3"/>
    </row>
    <row r="51" spans="2:32" x14ac:dyDescent="0.35">
      <c r="B51" s="6">
        <v>29</v>
      </c>
      <c r="C51" s="6" t="s">
        <v>191</v>
      </c>
      <c r="D51" s="6" t="s">
        <v>192</v>
      </c>
      <c r="E51" s="3" t="s">
        <v>46</v>
      </c>
      <c r="F51" s="3" t="s">
        <v>47</v>
      </c>
      <c r="G51" s="3" t="s">
        <v>48</v>
      </c>
      <c r="H51" s="73"/>
      <c r="I51" s="3"/>
      <c r="J51" s="3"/>
      <c r="K51" s="3" t="s">
        <v>142</v>
      </c>
      <c r="L51" s="3" t="s">
        <v>142</v>
      </c>
      <c r="M51" s="3" t="s">
        <v>142</v>
      </c>
      <c r="N51" s="3" t="s">
        <v>142</v>
      </c>
      <c r="O51" s="3"/>
      <c r="P51" s="3"/>
      <c r="Q51" s="3"/>
      <c r="R51" s="3"/>
      <c r="S51" s="3"/>
      <c r="T51" s="3"/>
      <c r="U51" s="3"/>
      <c r="V51" s="3"/>
      <c r="W51" s="3"/>
      <c r="X51" s="3"/>
      <c r="Y51" s="3"/>
      <c r="Z51" s="3"/>
      <c r="AA51" s="3"/>
      <c r="AB51" s="3"/>
      <c r="AC51" s="3"/>
      <c r="AD51" s="3"/>
      <c r="AE51" s="3"/>
      <c r="AF51" s="3"/>
    </row>
    <row r="52" spans="2:32" x14ac:dyDescent="0.35">
      <c r="B52" s="6">
        <v>30</v>
      </c>
      <c r="C52" s="6" t="s">
        <v>191</v>
      </c>
      <c r="D52" s="6" t="s">
        <v>192</v>
      </c>
      <c r="E52" s="3" t="s">
        <v>49</v>
      </c>
      <c r="F52" s="3" t="s">
        <v>47</v>
      </c>
      <c r="G52" s="3" t="s">
        <v>50</v>
      </c>
      <c r="H52" s="73"/>
      <c r="I52" s="3"/>
      <c r="J52" s="3"/>
      <c r="K52" s="3" t="s">
        <v>142</v>
      </c>
      <c r="L52" s="3" t="s">
        <v>142</v>
      </c>
      <c r="M52" s="3" t="s">
        <v>142</v>
      </c>
      <c r="N52" s="3" t="s">
        <v>142</v>
      </c>
      <c r="O52" s="3"/>
      <c r="P52" s="3"/>
      <c r="Q52" s="3"/>
      <c r="R52" s="3"/>
      <c r="S52" s="3"/>
      <c r="T52" s="3"/>
      <c r="U52" s="3"/>
      <c r="V52" s="3"/>
      <c r="W52" s="3"/>
      <c r="X52" s="3"/>
      <c r="Y52" s="3"/>
      <c r="Z52" s="3"/>
      <c r="AA52" s="3"/>
      <c r="AB52" s="3"/>
      <c r="AC52" s="3"/>
      <c r="AD52" s="3"/>
      <c r="AE52" s="3"/>
      <c r="AF52" s="3"/>
    </row>
    <row r="53" spans="2:32" x14ac:dyDescent="0.35">
      <c r="B53" s="6">
        <v>31</v>
      </c>
      <c r="C53" s="6" t="s">
        <v>191</v>
      </c>
      <c r="D53" s="6" t="s">
        <v>192</v>
      </c>
      <c r="E53" s="3" t="s">
        <v>51</v>
      </c>
      <c r="F53" s="3" t="s">
        <v>18</v>
      </c>
      <c r="G53" s="60" t="s">
        <v>193</v>
      </c>
      <c r="H53" s="73"/>
      <c r="I53" s="3" t="s">
        <v>194</v>
      </c>
      <c r="J53" s="3"/>
      <c r="K53" s="3" t="s">
        <v>142</v>
      </c>
      <c r="L53" s="3" t="s">
        <v>142</v>
      </c>
      <c r="M53" s="3" t="s">
        <v>142</v>
      </c>
      <c r="N53" s="3" t="s">
        <v>142</v>
      </c>
      <c r="O53" s="3"/>
      <c r="P53" s="3"/>
      <c r="Q53" s="3"/>
      <c r="R53" s="3"/>
      <c r="S53" s="3"/>
      <c r="T53" s="3"/>
      <c r="U53" s="3"/>
      <c r="V53" s="3"/>
      <c r="W53" s="3"/>
      <c r="X53" s="3"/>
      <c r="Y53" s="3"/>
      <c r="Z53" s="3"/>
      <c r="AA53" s="3"/>
      <c r="AB53" s="3"/>
      <c r="AC53" s="3"/>
      <c r="AD53" s="3"/>
      <c r="AE53" s="3"/>
      <c r="AF53" s="3"/>
    </row>
    <row r="54" spans="2:32" x14ac:dyDescent="0.35">
      <c r="B54" s="6">
        <v>32</v>
      </c>
      <c r="C54" s="6" t="s">
        <v>191</v>
      </c>
      <c r="D54" s="6" t="s">
        <v>192</v>
      </c>
      <c r="E54" s="3" t="s">
        <v>44</v>
      </c>
      <c r="F54" s="3" t="s">
        <v>18</v>
      </c>
      <c r="G54" s="3" t="s">
        <v>45</v>
      </c>
      <c r="H54" s="73"/>
      <c r="I54" s="3"/>
      <c r="J54" s="3"/>
      <c r="K54" s="3" t="s">
        <v>152</v>
      </c>
      <c r="L54" s="3" t="s">
        <v>152</v>
      </c>
      <c r="M54" s="3" t="s">
        <v>152</v>
      </c>
      <c r="N54" s="3" t="s">
        <v>152</v>
      </c>
      <c r="O54" s="3"/>
      <c r="P54" s="3"/>
      <c r="Q54" s="3"/>
      <c r="R54" s="3"/>
      <c r="S54" s="3"/>
      <c r="T54" s="3"/>
      <c r="U54" s="3"/>
      <c r="V54" s="3"/>
      <c r="W54" s="3"/>
      <c r="X54" s="3"/>
      <c r="Y54" s="3"/>
      <c r="Z54" s="3"/>
      <c r="AA54" s="3"/>
      <c r="AB54" s="3"/>
      <c r="AC54" s="3"/>
      <c r="AD54" s="3"/>
      <c r="AE54" s="3"/>
      <c r="AF54" s="3"/>
    </row>
    <row r="55" spans="2:32" x14ac:dyDescent="0.35">
      <c r="B55" s="6">
        <v>33</v>
      </c>
      <c r="C55" s="6" t="s">
        <v>191</v>
      </c>
      <c r="D55" s="6" t="s">
        <v>192</v>
      </c>
      <c r="E55" s="3" t="s">
        <v>195</v>
      </c>
      <c r="F55" s="3"/>
      <c r="G55" s="3"/>
      <c r="H55" s="73"/>
      <c r="I55" s="3"/>
      <c r="J55" s="3"/>
      <c r="K55" s="3" t="s">
        <v>149</v>
      </c>
      <c r="L55" s="3" t="s">
        <v>149</v>
      </c>
      <c r="M55" s="3" t="s">
        <v>149</v>
      </c>
      <c r="N55" s="3" t="s">
        <v>149</v>
      </c>
      <c r="O55" s="3"/>
      <c r="P55" s="3"/>
      <c r="Q55" s="3"/>
      <c r="R55" s="3"/>
      <c r="S55" s="3"/>
      <c r="T55" s="3"/>
      <c r="U55" s="3"/>
      <c r="V55" s="3"/>
      <c r="W55" s="3"/>
      <c r="X55" s="3"/>
      <c r="Y55" s="3"/>
      <c r="Z55" s="3"/>
      <c r="AA55" s="3"/>
      <c r="AB55" s="3"/>
      <c r="AC55" s="3"/>
      <c r="AD55" s="3"/>
      <c r="AE55" s="3"/>
      <c r="AF55" s="3"/>
    </row>
    <row r="56" spans="2:32" x14ac:dyDescent="0.35">
      <c r="B56" s="6">
        <v>34</v>
      </c>
      <c r="C56" s="6" t="s">
        <v>191</v>
      </c>
      <c r="D56" s="6" t="s">
        <v>192</v>
      </c>
      <c r="E56" s="3" t="s">
        <v>196</v>
      </c>
      <c r="F56" s="3"/>
      <c r="G56" s="3"/>
      <c r="H56" s="73"/>
      <c r="I56" s="3"/>
      <c r="J56" s="3"/>
      <c r="K56" s="3" t="s">
        <v>154</v>
      </c>
      <c r="L56" s="3" t="s">
        <v>154</v>
      </c>
      <c r="M56" s="3" t="s">
        <v>154</v>
      </c>
      <c r="N56" s="3" t="s">
        <v>154</v>
      </c>
      <c r="O56" s="3"/>
      <c r="P56" s="3"/>
      <c r="Q56" s="3"/>
      <c r="R56" s="3"/>
      <c r="S56" s="3"/>
      <c r="T56" s="3"/>
      <c r="U56" s="3"/>
      <c r="V56" s="3"/>
      <c r="W56" s="3"/>
      <c r="X56" s="3"/>
      <c r="Y56" s="3"/>
      <c r="Z56" s="3"/>
      <c r="AA56" s="3"/>
      <c r="AB56" s="3"/>
      <c r="AC56" s="3"/>
      <c r="AD56" s="3"/>
      <c r="AE56" s="3"/>
      <c r="AF56" s="3"/>
    </row>
    <row r="57" spans="2:32" x14ac:dyDescent="0.35">
      <c r="B57" s="6">
        <v>35</v>
      </c>
      <c r="C57" s="6" t="s">
        <v>191</v>
      </c>
      <c r="D57" s="6" t="s">
        <v>192</v>
      </c>
      <c r="E57" s="22" t="s">
        <v>56</v>
      </c>
      <c r="F57" s="3"/>
      <c r="G57" s="3"/>
      <c r="H57" s="73"/>
      <c r="I57" s="3"/>
      <c r="J57" s="3"/>
      <c r="K57" s="3" t="s">
        <v>149</v>
      </c>
      <c r="L57" s="3" t="s">
        <v>149</v>
      </c>
      <c r="M57" s="3" t="s">
        <v>149</v>
      </c>
      <c r="N57" s="3" t="s">
        <v>149</v>
      </c>
      <c r="O57" s="3"/>
      <c r="P57" s="3"/>
      <c r="Q57" s="3"/>
      <c r="R57" s="3"/>
      <c r="S57" s="3"/>
      <c r="T57" s="3"/>
      <c r="U57" s="3"/>
      <c r="V57" s="3"/>
      <c r="W57" s="3"/>
      <c r="X57" s="3"/>
      <c r="Y57" s="3"/>
      <c r="Z57" s="3"/>
      <c r="AA57" s="3"/>
      <c r="AB57" s="3"/>
      <c r="AC57" s="3"/>
      <c r="AD57" s="3"/>
      <c r="AE57" s="3"/>
      <c r="AF57" s="3"/>
    </row>
    <row r="58" spans="2:32" x14ac:dyDescent="0.35">
      <c r="B58" s="6">
        <v>36</v>
      </c>
      <c r="C58" s="6" t="s">
        <v>191</v>
      </c>
      <c r="D58" s="6" t="s">
        <v>192</v>
      </c>
      <c r="E58" s="22" t="s">
        <v>197</v>
      </c>
      <c r="F58" s="3" t="s">
        <v>27</v>
      </c>
      <c r="G58" s="3" t="s">
        <v>198</v>
      </c>
      <c r="H58" s="73"/>
      <c r="I58" s="3"/>
      <c r="J58" s="3"/>
      <c r="K58" s="3" t="s">
        <v>137</v>
      </c>
      <c r="L58" s="3" t="s">
        <v>137</v>
      </c>
      <c r="M58" s="3" t="s">
        <v>137</v>
      </c>
      <c r="N58" s="3" t="s">
        <v>137</v>
      </c>
      <c r="O58" s="3"/>
      <c r="P58" s="3"/>
      <c r="Q58" s="3"/>
      <c r="R58" s="3"/>
      <c r="S58" s="3"/>
      <c r="T58" s="3"/>
      <c r="U58" s="3"/>
      <c r="V58" s="3"/>
      <c r="W58" s="3"/>
      <c r="X58" s="3"/>
      <c r="Y58" s="3"/>
      <c r="Z58" s="3"/>
      <c r="AA58" s="3"/>
      <c r="AB58" s="3"/>
      <c r="AC58" s="3"/>
      <c r="AD58" s="3"/>
      <c r="AE58" s="3"/>
      <c r="AF58" s="3"/>
    </row>
    <row r="59" spans="2:32" x14ac:dyDescent="0.35">
      <c r="B59" s="6">
        <v>37</v>
      </c>
      <c r="C59" s="6" t="s">
        <v>199</v>
      </c>
      <c r="D59" s="6" t="s">
        <v>200</v>
      </c>
      <c r="E59" s="3" t="s">
        <v>201</v>
      </c>
      <c r="F59" s="3"/>
      <c r="G59" s="3"/>
      <c r="H59" s="73"/>
      <c r="I59" s="3"/>
      <c r="J59" s="3"/>
      <c r="K59" s="3" t="s">
        <v>154</v>
      </c>
      <c r="L59" s="3" t="s">
        <v>154</v>
      </c>
      <c r="M59" s="3" t="s">
        <v>154</v>
      </c>
      <c r="N59" s="3" t="s">
        <v>154</v>
      </c>
      <c r="O59" s="3"/>
      <c r="P59" s="3"/>
      <c r="Q59" s="3"/>
      <c r="R59" s="3"/>
      <c r="S59" s="3"/>
      <c r="T59" s="3"/>
      <c r="U59" s="3"/>
      <c r="V59" s="3"/>
      <c r="W59" s="3"/>
      <c r="X59" s="3"/>
      <c r="Y59" s="3"/>
      <c r="Z59" s="3"/>
      <c r="AA59" s="3"/>
      <c r="AB59" s="3"/>
      <c r="AC59" s="3"/>
      <c r="AD59" s="3"/>
      <c r="AE59" s="3"/>
      <c r="AF59" s="3"/>
    </row>
    <row r="60" spans="2:32" x14ac:dyDescent="0.35">
      <c r="B60" s="6">
        <v>38</v>
      </c>
      <c r="C60" s="6" t="s">
        <v>199</v>
      </c>
      <c r="D60" s="6" t="s">
        <v>200</v>
      </c>
      <c r="E60" s="3" t="s">
        <v>202</v>
      </c>
      <c r="F60" s="3"/>
      <c r="G60" s="3"/>
      <c r="H60" s="73"/>
      <c r="I60" s="3"/>
      <c r="J60" s="3"/>
      <c r="K60" s="3" t="s">
        <v>154</v>
      </c>
      <c r="L60" s="3" t="s">
        <v>154</v>
      </c>
      <c r="M60" s="3" t="s">
        <v>154</v>
      </c>
      <c r="N60" s="3" t="s">
        <v>154</v>
      </c>
      <c r="O60" s="3"/>
      <c r="P60" s="3"/>
      <c r="Q60" s="3"/>
      <c r="R60" s="3"/>
      <c r="S60" s="3"/>
      <c r="T60" s="3"/>
      <c r="U60" s="3"/>
      <c r="V60" s="3"/>
      <c r="W60" s="3"/>
      <c r="X60" s="3"/>
      <c r="Y60" s="3"/>
      <c r="Z60" s="3"/>
      <c r="AA60" s="3"/>
      <c r="AB60" s="3"/>
      <c r="AC60" s="3"/>
      <c r="AD60" s="3"/>
      <c r="AE60" s="3"/>
      <c r="AF60" s="3"/>
    </row>
    <row r="61" spans="2:32" x14ac:dyDescent="0.35">
      <c r="B61" s="6">
        <v>39</v>
      </c>
      <c r="C61" s="6" t="s">
        <v>203</v>
      </c>
      <c r="D61" s="6" t="s">
        <v>12</v>
      </c>
      <c r="E61" s="91" t="s">
        <v>204</v>
      </c>
      <c r="F61" s="3" t="s">
        <v>18</v>
      </c>
      <c r="G61" s="3" t="s">
        <v>19</v>
      </c>
      <c r="H61" s="73"/>
      <c r="I61" s="3"/>
      <c r="J61" s="3"/>
      <c r="K61" s="3" t="s">
        <v>154</v>
      </c>
      <c r="L61" s="3" t="s">
        <v>147</v>
      </c>
      <c r="M61" s="3" t="s">
        <v>147</v>
      </c>
      <c r="N61" s="3" t="s">
        <v>147</v>
      </c>
      <c r="O61" s="3" t="s">
        <v>205</v>
      </c>
      <c r="P61" s="3"/>
      <c r="Q61" s="3"/>
      <c r="R61" s="3"/>
      <c r="S61" s="3"/>
      <c r="T61" s="3"/>
      <c r="U61" s="3"/>
      <c r="V61" s="3"/>
      <c r="W61" s="3"/>
      <c r="X61" s="3"/>
      <c r="Y61" s="3"/>
      <c r="Z61" s="3"/>
      <c r="AA61" s="3"/>
      <c r="AB61" s="3"/>
      <c r="AC61" s="3" t="s">
        <v>147</v>
      </c>
      <c r="AD61" s="3" t="s">
        <v>147</v>
      </c>
      <c r="AE61" s="3" t="s">
        <v>147</v>
      </c>
      <c r="AF61" s="3" t="s">
        <v>147</v>
      </c>
    </row>
    <row r="62" spans="2:32" x14ac:dyDescent="0.35">
      <c r="B62" s="6">
        <v>40</v>
      </c>
      <c r="C62" s="6" t="s">
        <v>203</v>
      </c>
      <c r="D62" s="6" t="s">
        <v>12</v>
      </c>
      <c r="E62" s="3" t="s">
        <v>20</v>
      </c>
      <c r="F62" s="3" t="s">
        <v>14</v>
      </c>
      <c r="G62" s="3" t="s">
        <v>21</v>
      </c>
      <c r="H62" s="73"/>
      <c r="I62" s="3"/>
      <c r="J62" s="3"/>
      <c r="K62" s="3" t="s">
        <v>147</v>
      </c>
      <c r="L62" s="3" t="s">
        <v>147</v>
      </c>
      <c r="M62" s="3" t="s">
        <v>147</v>
      </c>
      <c r="N62" s="3" t="s">
        <v>147</v>
      </c>
      <c r="O62" s="3"/>
      <c r="P62" s="3"/>
      <c r="Q62" s="3"/>
      <c r="R62" s="3"/>
      <c r="S62" s="3"/>
      <c r="T62" s="3"/>
      <c r="U62" s="3"/>
      <c r="V62" s="3"/>
      <c r="W62" s="3"/>
      <c r="X62" s="3"/>
      <c r="Y62" s="3"/>
      <c r="Z62" s="3"/>
      <c r="AA62" s="3"/>
      <c r="AB62" s="3"/>
      <c r="AC62" s="3"/>
      <c r="AD62" s="3"/>
      <c r="AE62" s="3"/>
      <c r="AF62" s="3"/>
    </row>
    <row r="63" spans="2:32" x14ac:dyDescent="0.35">
      <c r="B63" s="6">
        <v>41</v>
      </c>
      <c r="C63" s="6" t="s">
        <v>203</v>
      </c>
      <c r="D63" s="6" t="s">
        <v>12</v>
      </c>
      <c r="E63" s="3" t="s">
        <v>22</v>
      </c>
      <c r="F63" s="18" t="s">
        <v>18</v>
      </c>
      <c r="G63" s="17" t="s">
        <v>23</v>
      </c>
      <c r="H63" s="95"/>
      <c r="I63" s="17"/>
      <c r="J63" s="17"/>
      <c r="K63" s="3" t="s">
        <v>142</v>
      </c>
      <c r="L63" s="3" t="s">
        <v>142</v>
      </c>
      <c r="M63" s="3" t="s">
        <v>142</v>
      </c>
      <c r="N63" s="3" t="s">
        <v>142</v>
      </c>
      <c r="O63" s="3"/>
      <c r="P63" s="3"/>
      <c r="Q63" s="3"/>
      <c r="R63" s="3"/>
      <c r="S63" s="3"/>
      <c r="T63" s="3"/>
      <c r="U63" s="3"/>
      <c r="V63" s="3"/>
      <c r="W63" s="3"/>
      <c r="X63" s="3"/>
      <c r="Y63" s="3"/>
      <c r="Z63" s="3"/>
      <c r="AA63" s="3"/>
      <c r="AB63" s="3"/>
      <c r="AC63" s="3"/>
      <c r="AD63" s="3"/>
      <c r="AE63" s="3"/>
      <c r="AF63" s="3"/>
    </row>
    <row r="64" spans="2:32" x14ac:dyDescent="0.35">
      <c r="B64" s="6">
        <v>42</v>
      </c>
      <c r="C64" s="6" t="s">
        <v>203</v>
      </c>
      <c r="D64" s="6" t="s">
        <v>12</v>
      </c>
      <c r="E64" s="43" t="s">
        <v>24</v>
      </c>
      <c r="F64" s="3" t="s">
        <v>18</v>
      </c>
      <c r="G64" s="3" t="s">
        <v>25</v>
      </c>
      <c r="H64" s="73"/>
      <c r="I64" s="3"/>
      <c r="J64" s="3"/>
      <c r="K64" s="3" t="s">
        <v>142</v>
      </c>
      <c r="L64" s="3" t="s">
        <v>142</v>
      </c>
      <c r="M64" s="3" t="s">
        <v>142</v>
      </c>
      <c r="N64" s="3" t="s">
        <v>142</v>
      </c>
      <c r="O64" s="3"/>
      <c r="P64" s="3"/>
      <c r="Q64" s="3"/>
      <c r="R64" s="3"/>
      <c r="S64" s="3"/>
      <c r="T64" s="3"/>
      <c r="U64" s="3"/>
      <c r="V64" s="3"/>
      <c r="W64" s="3"/>
      <c r="X64" s="3"/>
      <c r="Y64" s="3"/>
      <c r="Z64" s="3"/>
      <c r="AA64" s="3"/>
      <c r="AB64" s="3"/>
      <c r="AC64" s="3"/>
      <c r="AD64" s="3"/>
      <c r="AE64" s="3"/>
      <c r="AF64" s="3"/>
    </row>
    <row r="65" spans="2:32" x14ac:dyDescent="0.35">
      <c r="B65" s="6">
        <v>43</v>
      </c>
      <c r="C65" s="6" t="s">
        <v>206</v>
      </c>
      <c r="D65" s="6" t="s">
        <v>206</v>
      </c>
      <c r="E65" s="3" t="s">
        <v>207</v>
      </c>
      <c r="F65" s="3"/>
      <c r="G65" s="3"/>
      <c r="H65" s="73"/>
      <c r="I65" s="3"/>
      <c r="J65" s="3"/>
      <c r="K65" s="3" t="s">
        <v>149</v>
      </c>
      <c r="L65" s="3" t="s">
        <v>149</v>
      </c>
      <c r="M65" s="3" t="s">
        <v>149</v>
      </c>
      <c r="N65" s="3" t="s">
        <v>149</v>
      </c>
      <c r="O65" s="3"/>
      <c r="P65" s="3"/>
      <c r="Q65" s="3"/>
      <c r="R65" s="3"/>
      <c r="S65" s="3"/>
      <c r="T65" s="3"/>
      <c r="U65" s="3"/>
      <c r="V65" s="3"/>
      <c r="W65" s="3"/>
      <c r="X65" s="3"/>
      <c r="Y65" s="3"/>
      <c r="Z65" s="3"/>
      <c r="AA65" s="3"/>
      <c r="AB65" s="3"/>
      <c r="AC65" s="3"/>
      <c r="AD65" s="3"/>
      <c r="AE65" s="3"/>
      <c r="AF65" s="3"/>
    </row>
    <row r="66" spans="2:32" x14ac:dyDescent="0.35">
      <c r="B66" s="6">
        <v>44</v>
      </c>
      <c r="C66" s="6" t="s">
        <v>206</v>
      </c>
      <c r="D66" s="6" t="s">
        <v>206</v>
      </c>
      <c r="E66" s="3" t="s">
        <v>208</v>
      </c>
      <c r="F66" s="3"/>
      <c r="G66" s="3"/>
      <c r="H66" s="73"/>
      <c r="I66" s="3"/>
      <c r="J66" s="3"/>
      <c r="K66" s="3" t="s">
        <v>142</v>
      </c>
      <c r="L66" s="3" t="s">
        <v>142</v>
      </c>
      <c r="M66" s="3" t="s">
        <v>142</v>
      </c>
      <c r="N66" s="3" t="s">
        <v>142</v>
      </c>
      <c r="O66" s="3"/>
      <c r="P66" s="3"/>
      <c r="Q66" s="3"/>
      <c r="R66" s="3"/>
      <c r="S66" s="3"/>
      <c r="T66" s="3"/>
      <c r="U66" s="3"/>
      <c r="V66" s="3"/>
      <c r="W66" s="3"/>
      <c r="X66" s="3"/>
      <c r="Y66" s="3"/>
      <c r="Z66" s="3"/>
      <c r="AA66" s="3"/>
      <c r="AB66" s="3"/>
      <c r="AC66" s="3"/>
      <c r="AD66" s="3"/>
      <c r="AE66" s="3"/>
      <c r="AF66" s="3"/>
    </row>
    <row r="67" spans="2:32" x14ac:dyDescent="0.35">
      <c r="B67" s="6">
        <v>45</v>
      </c>
      <c r="C67" s="6" t="s">
        <v>203</v>
      </c>
      <c r="D67" s="6" t="s">
        <v>12</v>
      </c>
      <c r="E67" s="3" t="s">
        <v>209</v>
      </c>
      <c r="F67" s="3"/>
      <c r="G67" s="3"/>
      <c r="H67" s="73"/>
      <c r="I67" s="3"/>
      <c r="J67" s="3"/>
      <c r="K67" s="3" t="s">
        <v>149</v>
      </c>
      <c r="L67" s="3" t="s">
        <v>149</v>
      </c>
      <c r="M67" s="3" t="s">
        <v>149</v>
      </c>
      <c r="N67" s="3" t="s">
        <v>149</v>
      </c>
      <c r="O67" s="3"/>
      <c r="P67" s="3"/>
      <c r="Q67" s="3"/>
      <c r="R67" s="3"/>
      <c r="S67" s="3"/>
      <c r="T67" s="3"/>
      <c r="U67" s="3"/>
      <c r="V67" s="3"/>
      <c r="W67" s="3"/>
      <c r="X67" s="3"/>
      <c r="Y67" s="3"/>
      <c r="Z67" s="3"/>
      <c r="AA67" s="3"/>
      <c r="AB67" s="3"/>
      <c r="AC67" s="3"/>
      <c r="AD67" s="3"/>
      <c r="AE67" s="3"/>
      <c r="AF67" s="3"/>
    </row>
    <row r="68" spans="2:32" x14ac:dyDescent="0.35">
      <c r="B68" s="6">
        <v>46</v>
      </c>
      <c r="C68" s="6" t="s">
        <v>203</v>
      </c>
      <c r="D68" s="6" t="s">
        <v>12</v>
      </c>
      <c r="E68" s="3" t="s">
        <v>210</v>
      </c>
      <c r="F68" s="3"/>
      <c r="G68" s="3"/>
      <c r="H68" s="73"/>
      <c r="I68" s="3"/>
      <c r="J68" s="3"/>
      <c r="K68" s="3" t="s">
        <v>147</v>
      </c>
      <c r="L68" s="3" t="s">
        <v>147</v>
      </c>
      <c r="M68" s="3" t="s">
        <v>147</v>
      </c>
      <c r="N68" s="3" t="s">
        <v>147</v>
      </c>
      <c r="O68" s="3"/>
      <c r="P68" s="3"/>
      <c r="Q68" s="3"/>
      <c r="R68" s="3"/>
      <c r="S68" s="3"/>
      <c r="T68" s="3"/>
      <c r="U68" s="3"/>
      <c r="V68" s="3"/>
      <c r="W68" s="3"/>
      <c r="X68" s="3"/>
      <c r="Y68" s="3"/>
      <c r="Z68" s="3"/>
      <c r="AA68" s="3"/>
      <c r="AB68" s="3"/>
      <c r="AC68" s="3"/>
      <c r="AD68" s="3"/>
      <c r="AE68" s="3"/>
      <c r="AF68" s="3"/>
    </row>
    <row r="69" spans="2:32" x14ac:dyDescent="0.35">
      <c r="B69" s="6">
        <v>47</v>
      </c>
      <c r="C69" s="6" t="s">
        <v>203</v>
      </c>
      <c r="D69" s="6" t="s">
        <v>12</v>
      </c>
      <c r="E69" s="3" t="s">
        <v>26</v>
      </c>
      <c r="F69" s="2" t="s">
        <v>27</v>
      </c>
      <c r="G69" s="3" t="s">
        <v>28</v>
      </c>
      <c r="H69" s="73"/>
      <c r="I69" s="3"/>
      <c r="J69" s="3"/>
      <c r="K69" s="3" t="s">
        <v>142</v>
      </c>
      <c r="L69" s="3" t="s">
        <v>142</v>
      </c>
      <c r="M69" s="3" t="s">
        <v>142</v>
      </c>
      <c r="N69" s="3" t="s">
        <v>142</v>
      </c>
      <c r="O69" s="3"/>
      <c r="P69" s="3"/>
      <c r="Q69" s="3"/>
      <c r="R69" s="3"/>
      <c r="S69" s="3"/>
      <c r="T69" s="3"/>
      <c r="U69" s="3"/>
      <c r="V69" s="3"/>
      <c r="W69" s="3"/>
      <c r="X69" s="3"/>
      <c r="Y69" s="3"/>
      <c r="Z69" s="3"/>
      <c r="AA69" s="3"/>
      <c r="AB69" s="3"/>
      <c r="AC69" s="3"/>
      <c r="AD69" s="3"/>
      <c r="AE69" s="3"/>
      <c r="AF69" s="3"/>
    </row>
    <row r="70" spans="2:32" x14ac:dyDescent="0.35">
      <c r="B70" s="6">
        <v>48</v>
      </c>
      <c r="C70" s="6" t="s">
        <v>211</v>
      </c>
      <c r="D70" s="6" t="s">
        <v>73</v>
      </c>
      <c r="E70" s="3" t="s">
        <v>74</v>
      </c>
      <c r="F70" s="3"/>
      <c r="G70" s="3"/>
      <c r="H70" s="73"/>
      <c r="I70" s="3"/>
      <c r="J70" s="3"/>
      <c r="K70" s="3" t="s">
        <v>154</v>
      </c>
      <c r="L70" s="3" t="s">
        <v>154</v>
      </c>
      <c r="M70" s="3" t="s">
        <v>154</v>
      </c>
      <c r="N70" s="3" t="s">
        <v>154</v>
      </c>
      <c r="O70" s="3"/>
      <c r="P70" s="3"/>
      <c r="Q70" s="3"/>
      <c r="R70" s="3"/>
      <c r="S70" s="3"/>
      <c r="T70" s="3"/>
      <c r="U70" s="3"/>
      <c r="V70" s="3"/>
      <c r="W70" s="3"/>
      <c r="X70" s="3"/>
      <c r="Y70" s="3"/>
      <c r="Z70" s="3"/>
      <c r="AA70" s="3"/>
      <c r="AB70" s="3"/>
      <c r="AC70" s="3"/>
      <c r="AD70" s="3"/>
      <c r="AE70" s="3"/>
      <c r="AF70" s="3"/>
    </row>
    <row r="71" spans="2:32" x14ac:dyDescent="0.35">
      <c r="B71" s="6">
        <v>49</v>
      </c>
      <c r="C71" s="6" t="s">
        <v>211</v>
      </c>
      <c r="D71" s="6" t="s">
        <v>73</v>
      </c>
      <c r="E71" s="3" t="s">
        <v>75</v>
      </c>
      <c r="F71" s="3"/>
      <c r="G71" s="3"/>
      <c r="H71" s="73"/>
      <c r="I71" s="3"/>
      <c r="J71" s="3"/>
      <c r="K71" s="3" t="s">
        <v>154</v>
      </c>
      <c r="L71" s="3" t="s">
        <v>154</v>
      </c>
      <c r="M71" s="3" t="s">
        <v>154</v>
      </c>
      <c r="N71" s="3" t="s">
        <v>154</v>
      </c>
      <c r="O71" s="3"/>
      <c r="P71" s="3"/>
      <c r="Q71" s="3"/>
      <c r="R71" s="3"/>
      <c r="S71" s="3"/>
      <c r="T71" s="3"/>
      <c r="U71" s="3"/>
      <c r="V71" s="3"/>
      <c r="W71" s="3"/>
      <c r="X71" s="3"/>
      <c r="Y71" s="3"/>
      <c r="Z71" s="3"/>
      <c r="AA71" s="3"/>
      <c r="AB71" s="3"/>
      <c r="AC71" s="3"/>
      <c r="AD71" s="3"/>
      <c r="AE71" s="3"/>
      <c r="AF71" s="3"/>
    </row>
    <row r="72" spans="2:32" x14ac:dyDescent="0.35">
      <c r="B72" s="6">
        <v>50</v>
      </c>
      <c r="C72" s="6" t="s">
        <v>211</v>
      </c>
      <c r="D72" s="6" t="s">
        <v>73</v>
      </c>
      <c r="E72" s="57" t="s">
        <v>76</v>
      </c>
      <c r="F72" s="57" t="s">
        <v>27</v>
      </c>
      <c r="G72" s="57" t="s">
        <v>77</v>
      </c>
      <c r="H72" s="166"/>
      <c r="I72" s="57"/>
      <c r="J72" s="57"/>
      <c r="K72" s="3" t="s">
        <v>154</v>
      </c>
      <c r="L72" s="3" t="s">
        <v>154</v>
      </c>
      <c r="M72" s="3" t="s">
        <v>154</v>
      </c>
      <c r="N72" s="3" t="s">
        <v>154</v>
      </c>
      <c r="O72" s="3"/>
      <c r="P72" s="3"/>
      <c r="Q72" s="3"/>
      <c r="R72" s="3"/>
      <c r="S72" s="3"/>
      <c r="T72" s="3"/>
      <c r="U72" s="3"/>
      <c r="V72" s="3"/>
      <c r="W72" s="3"/>
      <c r="X72" s="3"/>
      <c r="Y72" s="3"/>
      <c r="Z72" s="3"/>
      <c r="AA72" s="3"/>
      <c r="AB72" s="3"/>
      <c r="AC72" s="3"/>
      <c r="AD72" s="3"/>
      <c r="AE72" s="3"/>
      <c r="AF72" s="3"/>
    </row>
    <row r="73" spans="2:32" ht="15.5" x14ac:dyDescent="0.35">
      <c r="B73" s="6">
        <v>51</v>
      </c>
      <c r="C73" s="6" t="s">
        <v>211</v>
      </c>
      <c r="D73" s="6" t="s">
        <v>73</v>
      </c>
      <c r="E73" s="57" t="s">
        <v>78</v>
      </c>
      <c r="F73" s="57" t="s">
        <v>27</v>
      </c>
      <c r="G73" s="79" t="s">
        <v>77</v>
      </c>
      <c r="H73" s="167"/>
      <c r="I73" s="79"/>
      <c r="J73" s="79"/>
      <c r="K73" s="3" t="s">
        <v>154</v>
      </c>
      <c r="L73" s="3" t="s">
        <v>154</v>
      </c>
      <c r="M73" s="3" t="s">
        <v>154</v>
      </c>
      <c r="N73" s="3" t="s">
        <v>154</v>
      </c>
      <c r="O73" s="3"/>
      <c r="P73" s="3"/>
      <c r="Q73" s="3"/>
      <c r="R73" s="3"/>
      <c r="S73" s="3"/>
      <c r="T73" s="3"/>
      <c r="U73" s="3"/>
      <c r="V73" s="3"/>
      <c r="W73" s="3"/>
      <c r="X73" s="3"/>
      <c r="Y73" s="3"/>
      <c r="Z73" s="3"/>
      <c r="AA73" s="3"/>
      <c r="AB73" s="3"/>
      <c r="AC73" s="3"/>
      <c r="AD73" s="3"/>
      <c r="AE73" s="3"/>
      <c r="AF73" s="3"/>
    </row>
    <row r="74" spans="2:32" x14ac:dyDescent="0.35">
      <c r="B74" s="6">
        <v>52</v>
      </c>
      <c r="C74" s="6" t="s">
        <v>211</v>
      </c>
      <c r="D74" s="6" t="s">
        <v>73</v>
      </c>
      <c r="E74" s="3" t="s">
        <v>79</v>
      </c>
      <c r="F74" s="3" t="s">
        <v>27</v>
      </c>
      <c r="G74" s="3" t="s">
        <v>80</v>
      </c>
      <c r="H74" s="73"/>
      <c r="I74" s="3"/>
      <c r="J74" s="3"/>
      <c r="K74" s="3" t="s">
        <v>154</v>
      </c>
      <c r="L74" s="3" t="s">
        <v>154</v>
      </c>
      <c r="M74" s="3" t="s">
        <v>154</v>
      </c>
      <c r="N74" s="3" t="s">
        <v>154</v>
      </c>
      <c r="O74" s="3"/>
      <c r="P74" s="3"/>
      <c r="Q74" s="3"/>
      <c r="R74" s="3"/>
      <c r="S74" s="3"/>
      <c r="T74" s="3"/>
      <c r="U74" s="3"/>
      <c r="V74" s="3"/>
      <c r="W74" s="3"/>
      <c r="X74" s="3"/>
      <c r="Y74" s="3"/>
      <c r="Z74" s="3"/>
      <c r="AA74" s="3"/>
      <c r="AB74" s="3"/>
      <c r="AC74" s="3"/>
      <c r="AD74" s="3"/>
      <c r="AE74" s="3"/>
      <c r="AF74" s="3"/>
    </row>
    <row r="75" spans="2:32" x14ac:dyDescent="0.35">
      <c r="B75" s="6">
        <v>53</v>
      </c>
      <c r="C75" s="6" t="s">
        <v>211</v>
      </c>
      <c r="D75" s="6" t="s">
        <v>73</v>
      </c>
      <c r="E75" s="3" t="s">
        <v>81</v>
      </c>
      <c r="F75" s="3" t="s">
        <v>27</v>
      </c>
      <c r="G75" s="3" t="s">
        <v>80</v>
      </c>
      <c r="H75" s="73"/>
      <c r="I75" s="3"/>
      <c r="J75" s="3"/>
      <c r="K75" s="3" t="s">
        <v>154</v>
      </c>
      <c r="L75" s="3" t="s">
        <v>154</v>
      </c>
      <c r="M75" s="3" t="s">
        <v>154</v>
      </c>
      <c r="N75" s="3" t="s">
        <v>154</v>
      </c>
      <c r="O75" s="3"/>
      <c r="P75" s="3"/>
      <c r="Q75" s="3"/>
      <c r="R75" s="3"/>
      <c r="S75" s="3"/>
      <c r="T75" s="3"/>
      <c r="U75" s="3"/>
      <c r="V75" s="3"/>
      <c r="W75" s="3"/>
      <c r="X75" s="3"/>
      <c r="Y75" s="3"/>
      <c r="Z75" s="3"/>
      <c r="AA75" s="3"/>
      <c r="AB75" s="3"/>
      <c r="AC75" s="3"/>
      <c r="AD75" s="3"/>
      <c r="AE75" s="3"/>
      <c r="AF75" s="3"/>
    </row>
    <row r="76" spans="2:32" x14ac:dyDescent="0.35">
      <c r="B76" s="6">
        <v>54</v>
      </c>
      <c r="C76" s="6" t="s">
        <v>211</v>
      </c>
      <c r="D76" s="6" t="s">
        <v>73</v>
      </c>
      <c r="E76" s="3" t="s">
        <v>82</v>
      </c>
      <c r="F76" s="3" t="s">
        <v>27</v>
      </c>
      <c r="G76" s="3" t="s">
        <v>83</v>
      </c>
      <c r="H76" s="73"/>
      <c r="I76" s="3"/>
      <c r="J76" s="3"/>
      <c r="K76" s="3" t="s">
        <v>154</v>
      </c>
      <c r="L76" s="3" t="s">
        <v>154</v>
      </c>
      <c r="M76" s="3" t="s">
        <v>154</v>
      </c>
      <c r="N76" s="3" t="s">
        <v>154</v>
      </c>
      <c r="O76" s="3"/>
      <c r="P76" s="3"/>
      <c r="Q76" s="3"/>
      <c r="R76" s="3"/>
      <c r="S76" s="3"/>
      <c r="T76" s="3"/>
      <c r="U76" s="3"/>
      <c r="V76" s="3"/>
      <c r="W76" s="3"/>
      <c r="X76" s="3"/>
      <c r="Y76" s="3"/>
      <c r="Z76" s="3"/>
      <c r="AA76" s="3"/>
      <c r="AB76" s="3"/>
      <c r="AC76" s="3"/>
      <c r="AD76" s="3"/>
      <c r="AE76" s="3"/>
      <c r="AF76" s="3"/>
    </row>
    <row r="77" spans="2:32" x14ac:dyDescent="0.35">
      <c r="B77" s="6">
        <v>55</v>
      </c>
      <c r="C77" s="6" t="s">
        <v>211</v>
      </c>
      <c r="D77" s="6" t="s">
        <v>73</v>
      </c>
      <c r="E77" s="3" t="s">
        <v>84</v>
      </c>
      <c r="F77" s="3" t="s">
        <v>27</v>
      </c>
      <c r="G77" s="3" t="s">
        <v>83</v>
      </c>
      <c r="H77" s="73"/>
      <c r="I77" s="3"/>
      <c r="J77" s="3"/>
      <c r="K77" s="3" t="s">
        <v>154</v>
      </c>
      <c r="L77" s="3" t="s">
        <v>154</v>
      </c>
      <c r="M77" s="3" t="s">
        <v>154</v>
      </c>
      <c r="N77" s="3" t="s">
        <v>154</v>
      </c>
      <c r="O77" s="3"/>
      <c r="P77" s="3"/>
      <c r="Q77" s="3"/>
      <c r="R77" s="3"/>
      <c r="S77" s="3"/>
      <c r="T77" s="3"/>
      <c r="U77" s="3"/>
      <c r="V77" s="3"/>
      <c r="W77" s="3"/>
      <c r="X77" s="3"/>
      <c r="Y77" s="3"/>
      <c r="Z77" s="3"/>
      <c r="AA77" s="3"/>
      <c r="AB77" s="3"/>
      <c r="AC77" s="3"/>
      <c r="AD77" s="3"/>
      <c r="AE77" s="3"/>
      <c r="AF77" s="3"/>
    </row>
    <row r="78" spans="2:32" x14ac:dyDescent="0.35">
      <c r="B78" s="6">
        <v>56</v>
      </c>
      <c r="C78" s="6" t="s">
        <v>211</v>
      </c>
      <c r="D78" s="6" t="s">
        <v>73</v>
      </c>
      <c r="E78" s="3" t="s">
        <v>85</v>
      </c>
      <c r="F78" s="3"/>
      <c r="G78" s="3"/>
      <c r="H78" s="73"/>
      <c r="I78" s="3"/>
      <c r="J78" s="3"/>
      <c r="K78" s="3" t="s">
        <v>154</v>
      </c>
      <c r="L78" s="3" t="s">
        <v>154</v>
      </c>
      <c r="M78" s="3" t="s">
        <v>154</v>
      </c>
      <c r="N78" s="3" t="s">
        <v>154</v>
      </c>
      <c r="O78" s="3"/>
      <c r="P78" s="3"/>
      <c r="Q78" s="3"/>
      <c r="R78" s="3"/>
      <c r="S78" s="3"/>
      <c r="T78" s="3"/>
      <c r="U78" s="3"/>
      <c r="V78" s="3"/>
      <c r="W78" s="3"/>
      <c r="X78" s="3"/>
      <c r="Y78" s="3"/>
      <c r="Z78" s="3"/>
      <c r="AA78" s="3"/>
      <c r="AB78" s="3"/>
      <c r="AC78" s="3"/>
      <c r="AD78" s="3"/>
      <c r="AE78" s="3"/>
      <c r="AF78" s="3"/>
    </row>
    <row r="79" spans="2:32" x14ac:dyDescent="0.35">
      <c r="B79" s="6">
        <v>57</v>
      </c>
      <c r="C79" s="6" t="s">
        <v>211</v>
      </c>
      <c r="D79" s="6" t="s">
        <v>73</v>
      </c>
      <c r="E79" s="86" t="s">
        <v>86</v>
      </c>
      <c r="F79" s="3"/>
      <c r="G79" s="3"/>
      <c r="H79" s="73"/>
      <c r="I79" s="3"/>
      <c r="J79" s="3"/>
      <c r="K79" s="3" t="s">
        <v>154</v>
      </c>
      <c r="L79" s="3" t="s">
        <v>154</v>
      </c>
      <c r="M79" s="3" t="s">
        <v>154</v>
      </c>
      <c r="N79" s="3" t="s">
        <v>154</v>
      </c>
      <c r="O79" s="3"/>
      <c r="P79" s="3"/>
      <c r="Q79" s="3"/>
      <c r="R79" s="3"/>
      <c r="S79" s="3"/>
      <c r="T79" s="3"/>
      <c r="U79" s="3"/>
      <c r="V79" s="3"/>
      <c r="W79" s="3"/>
      <c r="X79" s="3"/>
      <c r="Y79" s="3"/>
      <c r="Z79" s="3"/>
      <c r="AA79" s="3"/>
      <c r="AB79" s="3"/>
      <c r="AC79" s="3"/>
      <c r="AD79" s="3"/>
      <c r="AE79" s="3"/>
      <c r="AF79" s="3"/>
    </row>
    <row r="80" spans="2:32" x14ac:dyDescent="0.35">
      <c r="B80" s="6">
        <v>58</v>
      </c>
      <c r="C80" s="6" t="s">
        <v>211</v>
      </c>
      <c r="D80" s="6" t="s">
        <v>73</v>
      </c>
      <c r="E80" t="s">
        <v>87</v>
      </c>
      <c r="F80" s="3" t="s">
        <v>27</v>
      </c>
      <c r="G80" s="3" t="s">
        <v>88</v>
      </c>
      <c r="H80" s="73"/>
      <c r="I80" s="3"/>
      <c r="J80" s="3"/>
      <c r="K80" s="3" t="s">
        <v>154</v>
      </c>
      <c r="L80" s="3" t="s">
        <v>154</v>
      </c>
      <c r="M80" s="3" t="s">
        <v>154</v>
      </c>
      <c r="N80" s="3" t="s">
        <v>154</v>
      </c>
      <c r="O80" s="3"/>
      <c r="P80" s="3"/>
      <c r="Q80" s="3"/>
      <c r="R80" s="3"/>
      <c r="S80" s="3"/>
      <c r="T80" s="3"/>
      <c r="U80" s="3"/>
      <c r="V80" s="3"/>
      <c r="W80" s="3"/>
      <c r="X80" s="3"/>
      <c r="Y80" s="3"/>
      <c r="Z80" s="3"/>
      <c r="AA80" s="3"/>
      <c r="AB80" s="3"/>
      <c r="AC80" s="3"/>
      <c r="AD80" s="3"/>
      <c r="AE80" s="3"/>
      <c r="AF80" s="3"/>
    </row>
    <row r="81" spans="2:32" x14ac:dyDescent="0.35">
      <c r="B81" s="6">
        <v>59</v>
      </c>
      <c r="C81" s="6" t="s">
        <v>211</v>
      </c>
      <c r="D81" s="6" t="s">
        <v>73</v>
      </c>
      <c r="E81" t="s">
        <v>89</v>
      </c>
      <c r="F81" s="3" t="s">
        <v>27</v>
      </c>
      <c r="G81" s="3" t="s">
        <v>88</v>
      </c>
      <c r="H81" s="73"/>
      <c r="I81" s="3"/>
      <c r="J81" s="3"/>
      <c r="K81" s="3" t="s">
        <v>154</v>
      </c>
      <c r="L81" s="3" t="s">
        <v>154</v>
      </c>
      <c r="M81" s="3" t="s">
        <v>154</v>
      </c>
      <c r="N81" s="3" t="s">
        <v>154</v>
      </c>
      <c r="O81" s="3"/>
      <c r="P81" s="3"/>
      <c r="Q81" s="3"/>
      <c r="R81" s="3"/>
      <c r="S81" s="3"/>
      <c r="T81" s="3"/>
      <c r="U81" s="3"/>
      <c r="V81" s="3"/>
      <c r="W81" s="3"/>
      <c r="X81" s="3"/>
      <c r="Y81" s="3"/>
      <c r="Z81" s="3"/>
      <c r="AA81" s="3"/>
      <c r="AB81" s="3"/>
      <c r="AC81" s="3"/>
      <c r="AD81" s="3"/>
      <c r="AE81" s="3"/>
      <c r="AF81" s="3"/>
    </row>
    <row r="82" spans="2:32" x14ac:dyDescent="0.35">
      <c r="B82" s="6">
        <v>60</v>
      </c>
      <c r="C82" s="6" t="s">
        <v>211</v>
      </c>
      <c r="D82" s="6" t="s">
        <v>73</v>
      </c>
      <c r="E82" t="s">
        <v>90</v>
      </c>
      <c r="F82" s="3"/>
      <c r="G82" s="3"/>
      <c r="H82" s="73"/>
      <c r="I82" s="3"/>
      <c r="J82" s="3"/>
      <c r="K82" s="3" t="s">
        <v>154</v>
      </c>
      <c r="L82" s="3" t="s">
        <v>154</v>
      </c>
      <c r="M82" s="3" t="s">
        <v>154</v>
      </c>
      <c r="N82" s="3" t="s">
        <v>154</v>
      </c>
      <c r="O82" s="3"/>
      <c r="P82" s="3"/>
      <c r="Q82" s="3"/>
      <c r="R82" s="3"/>
      <c r="S82" s="3"/>
      <c r="T82" s="3"/>
      <c r="U82" s="3"/>
      <c r="V82" s="3"/>
      <c r="W82" s="3"/>
      <c r="X82" s="3"/>
      <c r="Y82" s="3"/>
      <c r="Z82" s="3"/>
      <c r="AA82" s="3"/>
      <c r="AB82" s="3"/>
      <c r="AC82" s="3"/>
      <c r="AD82" s="3"/>
      <c r="AE82" s="3"/>
      <c r="AF82" s="3"/>
    </row>
    <row r="83" spans="2:32" x14ac:dyDescent="0.35">
      <c r="B83" s="6">
        <v>61</v>
      </c>
      <c r="C83" s="6" t="s">
        <v>211</v>
      </c>
      <c r="D83" s="6" t="s">
        <v>73</v>
      </c>
      <c r="E83" s="86" t="s">
        <v>91</v>
      </c>
      <c r="F83" s="3"/>
      <c r="G83" s="3"/>
      <c r="H83" s="73"/>
      <c r="I83" s="3"/>
      <c r="J83" s="3"/>
      <c r="K83" s="3" t="s">
        <v>154</v>
      </c>
      <c r="L83" s="3" t="s">
        <v>154</v>
      </c>
      <c r="M83" s="3" t="s">
        <v>154</v>
      </c>
      <c r="N83" s="3" t="s">
        <v>154</v>
      </c>
      <c r="O83" s="3"/>
      <c r="P83" s="3"/>
      <c r="Q83" s="3"/>
      <c r="R83" s="3"/>
      <c r="S83" s="3"/>
      <c r="T83" s="3"/>
      <c r="U83" s="3"/>
      <c r="V83" s="3"/>
      <c r="W83" s="3"/>
      <c r="X83" s="3"/>
      <c r="Y83" s="3"/>
      <c r="Z83" s="3"/>
      <c r="AA83" s="3"/>
      <c r="AB83" s="3"/>
      <c r="AC83" s="3"/>
      <c r="AD83" s="3"/>
      <c r="AE83" s="3"/>
      <c r="AF83" s="3"/>
    </row>
    <row r="84" spans="2:32" x14ac:dyDescent="0.35">
      <c r="B84" s="6">
        <v>62</v>
      </c>
      <c r="C84" s="6" t="s">
        <v>211</v>
      </c>
      <c r="D84" s="6" t="s">
        <v>73</v>
      </c>
      <c r="E84" t="s">
        <v>92</v>
      </c>
      <c r="F84" s="3" t="s">
        <v>27</v>
      </c>
      <c r="G84" s="3" t="s">
        <v>88</v>
      </c>
      <c r="H84" s="73"/>
      <c r="I84" s="3"/>
      <c r="J84" s="3"/>
      <c r="K84" s="3" t="s">
        <v>154</v>
      </c>
      <c r="L84" s="3" t="s">
        <v>154</v>
      </c>
      <c r="M84" s="3" t="s">
        <v>154</v>
      </c>
      <c r="N84" s="3" t="s">
        <v>154</v>
      </c>
      <c r="O84" s="3"/>
      <c r="P84" s="3"/>
      <c r="Q84" s="3"/>
      <c r="R84" s="3"/>
      <c r="S84" s="3"/>
      <c r="T84" s="3"/>
      <c r="U84" s="3"/>
      <c r="V84" s="3"/>
      <c r="W84" s="3"/>
      <c r="X84" s="3"/>
      <c r="Y84" s="3"/>
      <c r="Z84" s="3"/>
      <c r="AA84" s="3"/>
      <c r="AB84" s="3"/>
      <c r="AC84" s="3"/>
      <c r="AD84" s="3"/>
      <c r="AE84" s="3"/>
      <c r="AF84" s="3"/>
    </row>
    <row r="85" spans="2:32" x14ac:dyDescent="0.35">
      <c r="B85" s="6">
        <v>63</v>
      </c>
      <c r="C85" s="6" t="s">
        <v>211</v>
      </c>
      <c r="D85" s="6" t="s">
        <v>73</v>
      </c>
      <c r="E85" t="s">
        <v>93</v>
      </c>
      <c r="F85" s="3" t="s">
        <v>27</v>
      </c>
      <c r="G85" s="3" t="s">
        <v>88</v>
      </c>
      <c r="H85" s="73"/>
      <c r="I85" s="3"/>
      <c r="J85" s="3"/>
      <c r="K85" s="3" t="s">
        <v>154</v>
      </c>
      <c r="L85" s="3" t="s">
        <v>154</v>
      </c>
      <c r="M85" s="3" t="s">
        <v>154</v>
      </c>
      <c r="N85" s="3" t="s">
        <v>154</v>
      </c>
      <c r="O85" s="3"/>
      <c r="P85" s="3"/>
      <c r="Q85" s="3"/>
      <c r="R85" s="3"/>
      <c r="S85" s="3"/>
      <c r="T85" s="3"/>
      <c r="U85" s="3"/>
      <c r="V85" s="3"/>
      <c r="W85" s="3"/>
      <c r="X85" s="3"/>
      <c r="Y85" s="3"/>
      <c r="Z85" s="3"/>
      <c r="AA85" s="3"/>
      <c r="AB85" s="3"/>
      <c r="AC85" s="3"/>
      <c r="AD85" s="3"/>
      <c r="AE85" s="3"/>
      <c r="AF85" s="3"/>
    </row>
    <row r="86" spans="2:32" x14ac:dyDescent="0.35">
      <c r="B86" s="6">
        <v>64</v>
      </c>
      <c r="C86" s="6" t="s">
        <v>211</v>
      </c>
      <c r="D86" s="6" t="s">
        <v>73</v>
      </c>
      <c r="E86" t="s">
        <v>94</v>
      </c>
      <c r="F86" s="3"/>
      <c r="G86" s="3"/>
      <c r="H86" s="73"/>
      <c r="I86" s="3"/>
      <c r="J86" s="3"/>
      <c r="K86" s="3" t="s">
        <v>154</v>
      </c>
      <c r="L86" s="3" t="s">
        <v>154</v>
      </c>
      <c r="M86" s="3" t="s">
        <v>154</v>
      </c>
      <c r="N86" s="3" t="s">
        <v>154</v>
      </c>
      <c r="O86" s="3"/>
      <c r="P86" s="3"/>
      <c r="Q86" s="3"/>
      <c r="R86" s="3"/>
      <c r="S86" s="3"/>
      <c r="T86" s="3"/>
      <c r="U86" s="3"/>
      <c r="V86" s="3"/>
      <c r="W86" s="3"/>
      <c r="X86" s="3"/>
      <c r="Y86" s="3"/>
      <c r="Z86" s="3"/>
      <c r="AA86" s="3"/>
      <c r="AB86" s="3"/>
      <c r="AC86" s="3"/>
      <c r="AD86" s="3"/>
      <c r="AE86" s="3"/>
      <c r="AF86" s="3"/>
    </row>
    <row r="87" spans="2:32" x14ac:dyDescent="0.35">
      <c r="B87" s="6">
        <v>65</v>
      </c>
      <c r="C87" s="6" t="s">
        <v>211</v>
      </c>
      <c r="D87" s="6" t="s">
        <v>73</v>
      </c>
      <c r="E87" s="86" t="s">
        <v>95</v>
      </c>
      <c r="F87" s="3"/>
      <c r="G87" s="3"/>
      <c r="H87" s="73"/>
      <c r="I87" s="3"/>
      <c r="J87" s="3"/>
      <c r="K87" s="3" t="s">
        <v>154</v>
      </c>
      <c r="L87" s="3" t="s">
        <v>154</v>
      </c>
      <c r="M87" s="3" t="s">
        <v>154</v>
      </c>
      <c r="N87" s="3" t="s">
        <v>154</v>
      </c>
      <c r="O87" s="3"/>
      <c r="P87" s="3"/>
      <c r="Q87" s="3"/>
      <c r="R87" s="3"/>
      <c r="S87" s="3"/>
      <c r="T87" s="3"/>
      <c r="U87" s="3"/>
      <c r="V87" s="3"/>
      <c r="W87" s="3"/>
      <c r="X87" s="3"/>
      <c r="Y87" s="3"/>
      <c r="Z87" s="3"/>
      <c r="AA87" s="3"/>
      <c r="AB87" s="3"/>
      <c r="AC87" s="3"/>
      <c r="AD87" s="3"/>
      <c r="AE87" s="3"/>
      <c r="AF87" s="3"/>
    </row>
    <row r="88" spans="2:32" x14ac:dyDescent="0.35">
      <c r="B88" s="6">
        <v>66</v>
      </c>
      <c r="C88" s="6" t="s">
        <v>212</v>
      </c>
      <c r="D88" s="6" t="s">
        <v>60</v>
      </c>
      <c r="E88" s="3" t="s">
        <v>61</v>
      </c>
      <c r="F88" s="3" t="s">
        <v>62</v>
      </c>
      <c r="G88" s="3" t="s">
        <v>63</v>
      </c>
      <c r="H88" s="73"/>
      <c r="I88" s="3"/>
      <c r="J88" s="3"/>
      <c r="K88" s="3" t="s">
        <v>154</v>
      </c>
      <c r="L88" s="3" t="s">
        <v>154</v>
      </c>
      <c r="M88" s="3" t="s">
        <v>154</v>
      </c>
      <c r="N88" s="3" t="s">
        <v>154</v>
      </c>
      <c r="O88" s="3"/>
      <c r="P88" s="3"/>
      <c r="Q88" s="3"/>
      <c r="R88" s="3"/>
      <c r="S88" s="3"/>
      <c r="T88" s="3"/>
      <c r="U88" s="3"/>
      <c r="V88" s="3"/>
      <c r="W88" s="3"/>
      <c r="X88" s="3"/>
      <c r="Y88" s="3"/>
      <c r="Z88" s="3"/>
      <c r="AA88" s="3"/>
      <c r="AB88" s="3"/>
      <c r="AC88" s="3"/>
      <c r="AD88" s="3"/>
      <c r="AE88" s="3"/>
      <c r="AF88" s="3"/>
    </row>
    <row r="89" spans="2:32" x14ac:dyDescent="0.35">
      <c r="B89" s="6">
        <v>67</v>
      </c>
      <c r="C89" s="6" t="s">
        <v>212</v>
      </c>
      <c r="D89" s="6" t="s">
        <v>60</v>
      </c>
      <c r="E89" s="3" t="s">
        <v>64</v>
      </c>
      <c r="F89" s="3" t="s">
        <v>65</v>
      </c>
      <c r="G89" s="3" t="s">
        <v>66</v>
      </c>
      <c r="H89" s="73"/>
      <c r="I89" s="3"/>
      <c r="J89" s="3"/>
      <c r="K89" s="3" t="s">
        <v>154</v>
      </c>
      <c r="L89" s="3" t="s">
        <v>154</v>
      </c>
      <c r="M89" s="3" t="s">
        <v>154</v>
      </c>
      <c r="N89" s="3" t="s">
        <v>154</v>
      </c>
      <c r="O89" s="3"/>
      <c r="P89" s="3"/>
      <c r="Q89" s="3"/>
      <c r="R89" s="3"/>
      <c r="S89" s="3"/>
      <c r="T89" s="3"/>
      <c r="U89" s="3"/>
      <c r="V89" s="3"/>
      <c r="W89" s="3"/>
      <c r="X89" s="3"/>
      <c r="Y89" s="3"/>
      <c r="Z89" s="3"/>
      <c r="AA89" s="3"/>
      <c r="AB89" s="3"/>
      <c r="AC89" s="3"/>
      <c r="AD89" s="3"/>
      <c r="AE89" s="3"/>
      <c r="AF89" s="3"/>
    </row>
    <row r="90" spans="2:32" x14ac:dyDescent="0.35">
      <c r="B90" s="6">
        <v>68</v>
      </c>
      <c r="C90" s="6" t="s">
        <v>212</v>
      </c>
      <c r="D90" s="6" t="s">
        <v>60</v>
      </c>
      <c r="E90" s="3" t="s">
        <v>67</v>
      </c>
      <c r="F90" s="3" t="s">
        <v>62</v>
      </c>
      <c r="G90" s="3" t="s">
        <v>63</v>
      </c>
      <c r="H90" s="73"/>
      <c r="I90" s="3"/>
      <c r="J90" s="3"/>
      <c r="K90" s="3" t="s">
        <v>154</v>
      </c>
      <c r="L90" s="3" t="s">
        <v>154</v>
      </c>
      <c r="M90" s="3" t="s">
        <v>154</v>
      </c>
      <c r="N90" s="3" t="s">
        <v>154</v>
      </c>
      <c r="O90" s="3"/>
      <c r="P90" s="3"/>
      <c r="Q90" s="3"/>
      <c r="R90" s="3"/>
      <c r="S90" s="3"/>
      <c r="T90" s="3"/>
      <c r="U90" s="3"/>
      <c r="V90" s="3"/>
      <c r="W90" s="3"/>
      <c r="X90" s="3"/>
      <c r="Y90" s="3"/>
      <c r="Z90" s="3"/>
      <c r="AA90" s="3"/>
      <c r="AB90" s="3"/>
      <c r="AC90" s="3"/>
      <c r="AD90" s="3"/>
      <c r="AE90" s="3"/>
      <c r="AF90" s="3"/>
    </row>
    <row r="91" spans="2:32" x14ac:dyDescent="0.35">
      <c r="B91" s="6">
        <v>69</v>
      </c>
      <c r="C91" s="6" t="s">
        <v>212</v>
      </c>
      <c r="D91" s="6" t="s">
        <v>60</v>
      </c>
      <c r="E91" s="3" t="s">
        <v>68</v>
      </c>
      <c r="F91" s="24" t="s">
        <v>65</v>
      </c>
      <c r="G91" s="24" t="s">
        <v>66</v>
      </c>
      <c r="H91" s="72"/>
      <c r="I91" s="24"/>
      <c r="J91" s="24"/>
      <c r="K91" s="3" t="s">
        <v>154</v>
      </c>
      <c r="L91" s="3" t="s">
        <v>154</v>
      </c>
      <c r="M91" s="3" t="s">
        <v>154</v>
      </c>
      <c r="N91" s="3" t="s">
        <v>154</v>
      </c>
      <c r="O91" s="3"/>
      <c r="P91" s="3"/>
      <c r="Q91" s="3"/>
      <c r="R91" s="3"/>
      <c r="S91" s="3"/>
      <c r="T91" s="3"/>
      <c r="U91" s="3"/>
      <c r="V91" s="3"/>
      <c r="W91" s="3"/>
      <c r="X91" s="3"/>
      <c r="Y91" s="3"/>
      <c r="Z91" s="3"/>
      <c r="AA91" s="3"/>
      <c r="AB91" s="3"/>
      <c r="AC91" s="3"/>
      <c r="AD91" s="3"/>
      <c r="AE91" s="3"/>
      <c r="AF91" s="3"/>
    </row>
    <row r="92" spans="2:32" x14ac:dyDescent="0.35">
      <c r="B92" s="6">
        <v>70</v>
      </c>
      <c r="C92" s="6" t="s">
        <v>212</v>
      </c>
      <c r="D92" s="6" t="s">
        <v>60</v>
      </c>
      <c r="E92" s="3" t="s">
        <v>69</v>
      </c>
      <c r="F92" s="24" t="s">
        <v>62</v>
      </c>
      <c r="G92" s="24" t="s">
        <v>70</v>
      </c>
      <c r="H92" s="72"/>
      <c r="I92" s="24"/>
      <c r="J92" s="24"/>
      <c r="K92" s="3" t="s">
        <v>154</v>
      </c>
      <c r="L92" s="3" t="s">
        <v>154</v>
      </c>
      <c r="M92" s="3" t="s">
        <v>154</v>
      </c>
      <c r="N92" s="3" t="s">
        <v>154</v>
      </c>
      <c r="O92" s="3"/>
      <c r="P92" s="3"/>
      <c r="Q92" s="3"/>
      <c r="R92" s="3"/>
      <c r="S92" s="3"/>
      <c r="T92" s="3"/>
      <c r="U92" s="3"/>
      <c r="V92" s="3"/>
      <c r="W92" s="3"/>
      <c r="X92" s="3"/>
      <c r="Y92" s="3"/>
      <c r="Z92" s="3"/>
      <c r="AA92" s="3"/>
      <c r="AB92" s="3"/>
      <c r="AC92" s="3"/>
      <c r="AD92" s="3"/>
      <c r="AE92" s="3"/>
      <c r="AF92" s="3"/>
    </row>
    <row r="93" spans="2:32" x14ac:dyDescent="0.35">
      <c r="B93" s="6">
        <v>71</v>
      </c>
      <c r="C93" s="6" t="s">
        <v>212</v>
      </c>
      <c r="D93" s="6" t="s">
        <v>60</v>
      </c>
      <c r="E93" s="3" t="s">
        <v>71</v>
      </c>
      <c r="F93" s="3" t="s">
        <v>62</v>
      </c>
      <c r="G93" s="3" t="s">
        <v>72</v>
      </c>
      <c r="H93" s="73"/>
      <c r="I93" s="3"/>
      <c r="J93" s="3"/>
      <c r="K93" s="3" t="s">
        <v>154</v>
      </c>
      <c r="L93" s="3" t="s">
        <v>154</v>
      </c>
      <c r="M93" s="3" t="s">
        <v>154</v>
      </c>
      <c r="N93" s="3" t="s">
        <v>154</v>
      </c>
      <c r="O93" s="3"/>
      <c r="P93" s="3"/>
      <c r="Q93" s="3"/>
      <c r="R93" s="3"/>
      <c r="S93" s="3"/>
      <c r="T93" s="3"/>
      <c r="U93" s="3"/>
      <c r="V93" s="3"/>
      <c r="W93" s="3"/>
      <c r="X93" s="3"/>
      <c r="Y93" s="3"/>
      <c r="Z93" s="3"/>
      <c r="AA93" s="3"/>
      <c r="AB93" s="3"/>
      <c r="AC93" s="3"/>
      <c r="AD93" s="3"/>
      <c r="AE93" s="3"/>
      <c r="AF93" s="3"/>
    </row>
    <row r="94" spans="2:32" x14ac:dyDescent="0.35">
      <c r="B94" s="6">
        <v>72</v>
      </c>
      <c r="C94" s="6" t="s">
        <v>213</v>
      </c>
      <c r="D94" s="6" t="s">
        <v>214</v>
      </c>
      <c r="E94" s="3" t="s">
        <v>38</v>
      </c>
      <c r="F94" s="16"/>
      <c r="G94" s="16"/>
      <c r="H94" s="96"/>
      <c r="I94" s="16"/>
      <c r="J94" s="16"/>
      <c r="K94" s="3" t="s">
        <v>147</v>
      </c>
      <c r="L94" s="3" t="s">
        <v>147</v>
      </c>
      <c r="M94" s="3" t="s">
        <v>147</v>
      </c>
      <c r="N94" s="3" t="s">
        <v>147</v>
      </c>
      <c r="O94" s="3"/>
      <c r="P94" s="3"/>
      <c r="Q94" s="3"/>
      <c r="R94" s="3"/>
      <c r="S94" s="3"/>
      <c r="T94" s="3"/>
      <c r="U94" s="3"/>
      <c r="V94" s="3"/>
      <c r="W94" s="3"/>
      <c r="X94" s="3"/>
      <c r="Y94" s="3"/>
      <c r="Z94" s="3"/>
      <c r="AA94" s="3"/>
      <c r="AB94" s="3"/>
      <c r="AC94" s="3"/>
      <c r="AD94" s="3"/>
      <c r="AE94" s="3"/>
      <c r="AF94" s="3"/>
    </row>
    <row r="95" spans="2:32" x14ac:dyDescent="0.35">
      <c r="B95" s="6">
        <v>73</v>
      </c>
      <c r="C95" s="6" t="s">
        <v>213</v>
      </c>
      <c r="D95" s="6" t="s">
        <v>214</v>
      </c>
      <c r="E95" s="3" t="s">
        <v>41</v>
      </c>
      <c r="F95" s="16"/>
      <c r="G95" s="3"/>
      <c r="H95" s="73"/>
      <c r="I95" s="3"/>
      <c r="J95" s="3"/>
      <c r="K95" s="3" t="s">
        <v>147</v>
      </c>
      <c r="L95" s="3" t="s">
        <v>147</v>
      </c>
      <c r="M95" s="3" t="s">
        <v>147</v>
      </c>
      <c r="N95" s="3" t="s">
        <v>147</v>
      </c>
      <c r="O95" s="3"/>
      <c r="P95" s="3"/>
      <c r="Q95" s="3"/>
      <c r="R95" s="3"/>
      <c r="S95" s="3"/>
      <c r="T95" s="3"/>
      <c r="U95" s="3"/>
      <c r="V95" s="3"/>
      <c r="W95" s="3"/>
      <c r="X95" s="3"/>
      <c r="Y95" s="3"/>
      <c r="Z95" s="3"/>
      <c r="AA95" s="3"/>
      <c r="AB95" s="3"/>
      <c r="AC95" s="3"/>
      <c r="AD95" s="3"/>
      <c r="AE95" s="3"/>
      <c r="AF95" s="3"/>
    </row>
    <row r="96" spans="2:32" x14ac:dyDescent="0.35">
      <c r="B96" s="6">
        <v>74</v>
      </c>
      <c r="C96" s="6" t="s">
        <v>213</v>
      </c>
      <c r="D96" s="6" t="s">
        <v>214</v>
      </c>
      <c r="E96" s="3" t="s">
        <v>46</v>
      </c>
      <c r="F96" s="3"/>
      <c r="G96" s="3"/>
      <c r="H96" s="73"/>
      <c r="I96" s="3"/>
      <c r="J96" s="3"/>
      <c r="K96" s="3" t="s">
        <v>147</v>
      </c>
      <c r="L96" s="3" t="s">
        <v>147</v>
      </c>
      <c r="M96" s="3" t="s">
        <v>147</v>
      </c>
      <c r="N96" s="3" t="s">
        <v>147</v>
      </c>
      <c r="O96" s="3"/>
      <c r="P96" s="3"/>
      <c r="Q96" s="3"/>
      <c r="R96" s="3"/>
      <c r="S96" s="3"/>
      <c r="T96" s="3"/>
      <c r="U96" s="3"/>
      <c r="V96" s="3"/>
      <c r="W96" s="3"/>
      <c r="X96" s="3"/>
      <c r="Y96" s="3"/>
      <c r="Z96" s="3"/>
      <c r="AA96" s="3"/>
      <c r="AB96" s="3"/>
      <c r="AC96" s="3"/>
      <c r="AD96" s="3"/>
      <c r="AE96" s="3"/>
      <c r="AF96" s="3"/>
    </row>
    <row r="97" spans="2:32" x14ac:dyDescent="0.35">
      <c r="B97" s="6">
        <v>75</v>
      </c>
      <c r="C97" s="6" t="s">
        <v>213</v>
      </c>
      <c r="D97" s="6" t="s">
        <v>214</v>
      </c>
      <c r="E97" s="3" t="s">
        <v>49</v>
      </c>
      <c r="F97" s="3"/>
      <c r="G97" s="3"/>
      <c r="H97" s="73"/>
      <c r="I97" s="3"/>
      <c r="J97" s="3"/>
      <c r="K97" s="3" t="s">
        <v>147</v>
      </c>
      <c r="L97" s="3" t="s">
        <v>147</v>
      </c>
      <c r="M97" s="3" t="s">
        <v>147</v>
      </c>
      <c r="N97" s="3" t="s">
        <v>147</v>
      </c>
      <c r="O97" s="3"/>
      <c r="P97" s="3"/>
      <c r="Q97" s="3"/>
      <c r="R97" s="3"/>
      <c r="S97" s="3"/>
      <c r="T97" s="3"/>
      <c r="U97" s="3"/>
      <c r="V97" s="3"/>
      <c r="W97" s="3"/>
      <c r="X97" s="3"/>
      <c r="Y97" s="3"/>
      <c r="Z97" s="3"/>
      <c r="AA97" s="3"/>
      <c r="AB97" s="3"/>
      <c r="AC97" s="3"/>
      <c r="AD97" s="3"/>
      <c r="AE97" s="3"/>
      <c r="AF97" s="3"/>
    </row>
    <row r="98" spans="2:32" x14ac:dyDescent="0.35">
      <c r="B98" s="6">
        <v>76</v>
      </c>
      <c r="C98" s="6" t="s">
        <v>213</v>
      </c>
      <c r="D98" s="6" t="s">
        <v>214</v>
      </c>
      <c r="E98" s="3" t="s">
        <v>51</v>
      </c>
      <c r="F98" s="3"/>
      <c r="G98" s="3"/>
      <c r="H98" s="73"/>
      <c r="I98" s="3"/>
      <c r="J98" s="3"/>
      <c r="K98" s="3" t="s">
        <v>147</v>
      </c>
      <c r="L98" s="3" t="s">
        <v>147</v>
      </c>
      <c r="M98" s="3" t="s">
        <v>147</v>
      </c>
      <c r="N98" s="3" t="s">
        <v>147</v>
      </c>
      <c r="O98" s="3"/>
      <c r="P98" s="3"/>
      <c r="Q98" s="3"/>
      <c r="R98" s="3"/>
      <c r="S98" s="3"/>
      <c r="T98" s="3"/>
      <c r="U98" s="3"/>
      <c r="V98" s="3"/>
      <c r="W98" s="3"/>
      <c r="X98" s="3"/>
      <c r="Y98" s="3"/>
      <c r="Z98" s="3"/>
      <c r="AA98" s="3"/>
      <c r="AB98" s="3"/>
      <c r="AC98" s="3"/>
      <c r="AD98" s="3"/>
      <c r="AE98" s="3"/>
      <c r="AF98" s="3"/>
    </row>
    <row r="99" spans="2:32" x14ac:dyDescent="0.35">
      <c r="B99" s="6">
        <v>77</v>
      </c>
      <c r="C99" s="6" t="s">
        <v>213</v>
      </c>
      <c r="D99" s="6" t="s">
        <v>214</v>
      </c>
      <c r="E99" s="22" t="s">
        <v>56</v>
      </c>
      <c r="F99" s="3"/>
      <c r="G99" s="3"/>
      <c r="H99" s="73"/>
      <c r="I99" s="3"/>
      <c r="J99" s="3"/>
      <c r="K99" s="3" t="s">
        <v>147</v>
      </c>
      <c r="L99" s="3" t="s">
        <v>147</v>
      </c>
      <c r="M99" s="3" t="s">
        <v>147</v>
      </c>
      <c r="N99" s="3" t="s">
        <v>147</v>
      </c>
      <c r="O99" s="3"/>
      <c r="P99" s="3"/>
      <c r="Q99" s="3"/>
      <c r="R99" s="3"/>
      <c r="S99" s="3"/>
      <c r="T99" s="3"/>
      <c r="U99" s="3"/>
      <c r="V99" s="3"/>
      <c r="W99" s="3"/>
      <c r="X99" s="3"/>
      <c r="Y99" s="3"/>
      <c r="Z99" s="3"/>
      <c r="AA99" s="3"/>
      <c r="AB99" s="3"/>
      <c r="AC99" s="3"/>
      <c r="AD99" s="3"/>
      <c r="AE99" s="3"/>
      <c r="AF99" s="3"/>
    </row>
    <row r="100" spans="2:32" x14ac:dyDescent="0.35">
      <c r="B100" s="6">
        <v>78</v>
      </c>
      <c r="C100" s="6" t="s">
        <v>206</v>
      </c>
      <c r="D100" s="6" t="s">
        <v>206</v>
      </c>
      <c r="E100" s="90" t="s">
        <v>215</v>
      </c>
      <c r="K100" s="80" t="s">
        <v>152</v>
      </c>
      <c r="L100" s="80" t="s">
        <v>152</v>
      </c>
      <c r="M100" s="80" t="s">
        <v>152</v>
      </c>
      <c r="N100" s="80" t="s">
        <v>152</v>
      </c>
    </row>
    <row r="101" spans="2:32" x14ac:dyDescent="0.35">
      <c r="B101" s="6">
        <v>79</v>
      </c>
      <c r="C101" s="60" t="s">
        <v>213</v>
      </c>
      <c r="D101" s="60" t="s">
        <v>214</v>
      </c>
      <c r="E101" s="90" t="s">
        <v>171</v>
      </c>
      <c r="K101" s="3" t="s">
        <v>147</v>
      </c>
      <c r="L101" s="3" t="s">
        <v>147</v>
      </c>
      <c r="M101" s="3" t="s">
        <v>147</v>
      </c>
      <c r="N101" s="3" t="s">
        <v>147</v>
      </c>
    </row>
  </sheetData>
  <autoFilter ref="B23:AH101" xr:uid="{36CA0519-51D8-4B27-8FA0-6BE09BD1F956}"/>
  <mergeCells count="4">
    <mergeCell ref="K21:P21"/>
    <mergeCell ref="Q21:V21"/>
    <mergeCell ref="W21:AB21"/>
    <mergeCell ref="AC21:AH2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1541CF-578F-4742-8B59-9FA7D1B8C3A2}">
  <sheetPr>
    <tabColor rgb="FF92D050"/>
  </sheetPr>
  <dimension ref="A1:C9"/>
  <sheetViews>
    <sheetView workbookViewId="0">
      <selection activeCell="C16" sqref="C16"/>
    </sheetView>
  </sheetViews>
  <sheetFormatPr defaultRowHeight="14.5" x14ac:dyDescent="0.35"/>
  <cols>
    <col min="1" max="1" width="8.7265625" style="71"/>
    <col min="2" max="2" width="32.453125" bestFit="1" customWidth="1"/>
    <col min="3" max="3" width="60.26953125" bestFit="1" customWidth="1"/>
  </cols>
  <sheetData>
    <row r="1" spans="1:3" x14ac:dyDescent="0.35">
      <c r="A1" s="48" t="s">
        <v>216</v>
      </c>
      <c r="B1" s="4" t="s">
        <v>217</v>
      </c>
      <c r="C1" s="4" t="s">
        <v>218</v>
      </c>
    </row>
    <row r="2" spans="1:3" x14ac:dyDescent="0.35">
      <c r="A2" s="73">
        <v>1</v>
      </c>
      <c r="B2" s="3" t="s">
        <v>219</v>
      </c>
      <c r="C2" s="3" t="s">
        <v>220</v>
      </c>
    </row>
    <row r="3" spans="1:3" x14ac:dyDescent="0.35">
      <c r="A3" s="73">
        <v>2</v>
      </c>
      <c r="B3" s="3" t="s">
        <v>219</v>
      </c>
      <c r="C3" s="3" t="s">
        <v>221</v>
      </c>
    </row>
    <row r="4" spans="1:3" ht="72.5" x14ac:dyDescent="0.35">
      <c r="A4" s="15">
        <v>3</v>
      </c>
      <c r="B4" s="6" t="s">
        <v>219</v>
      </c>
      <c r="C4" s="2" t="s">
        <v>222</v>
      </c>
    </row>
    <row r="7" spans="1:3" x14ac:dyDescent="0.35">
      <c r="A7" s="48" t="s">
        <v>216</v>
      </c>
      <c r="B7" s="4" t="s">
        <v>223</v>
      </c>
      <c r="C7" s="4" t="s">
        <v>224</v>
      </c>
    </row>
    <row r="8" spans="1:3" x14ac:dyDescent="0.35">
      <c r="A8" s="73">
        <v>1</v>
      </c>
      <c r="B8" s="3" t="s">
        <v>225</v>
      </c>
      <c r="C8" s="3"/>
    </row>
    <row r="9" spans="1:3" x14ac:dyDescent="0.35">
      <c r="A9" s="73">
        <v>2</v>
      </c>
      <c r="B9" s="3" t="s">
        <v>226</v>
      </c>
      <c r="C9" s="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6600C0-B441-459A-91DA-48A6163B82F3}">
  <sheetPr filterMode="1"/>
  <dimension ref="A1:E33"/>
  <sheetViews>
    <sheetView zoomScale="80" zoomScaleNormal="80" workbookViewId="0">
      <pane xSplit="1" ySplit="4" topLeftCell="B5" activePane="bottomRight" state="frozen"/>
      <selection pane="topRight" activeCell="C1" sqref="C1"/>
      <selection pane="bottomLeft" activeCell="A5" sqref="A5"/>
      <selection pane="bottomRight" activeCell="J12" sqref="J12"/>
    </sheetView>
  </sheetViews>
  <sheetFormatPr defaultRowHeight="14.5" x14ac:dyDescent="0.35"/>
  <cols>
    <col min="1" max="1" width="23.81640625" customWidth="1"/>
    <col min="2" max="2" width="25.1796875" customWidth="1"/>
    <col min="3" max="3" width="39.453125" customWidth="1"/>
    <col min="4" max="4" width="16.81640625" style="71" customWidth="1"/>
    <col min="5" max="5" width="31.1796875" bestFit="1" customWidth="1"/>
  </cols>
  <sheetData>
    <row r="1" spans="1:5" ht="23.5" x14ac:dyDescent="0.55000000000000004">
      <c r="A1" s="36" t="s">
        <v>227</v>
      </c>
    </row>
    <row r="2" spans="1:5" x14ac:dyDescent="0.35">
      <c r="A2" s="179" t="s">
        <v>228</v>
      </c>
      <c r="B2" s="179"/>
      <c r="C2" s="100"/>
    </row>
    <row r="3" spans="1:5" s="1" customFormat="1" ht="29" x14ac:dyDescent="0.35">
      <c r="A3" s="53"/>
      <c r="B3" s="53"/>
      <c r="C3" s="101" t="s">
        <v>229</v>
      </c>
      <c r="D3" s="99"/>
    </row>
    <row r="4" spans="1:5" s="103" customFormat="1" ht="60" customHeight="1" x14ac:dyDescent="0.35">
      <c r="A4" s="28" t="s">
        <v>230</v>
      </c>
      <c r="B4" s="28" t="s">
        <v>231</v>
      </c>
      <c r="C4" s="46" t="s">
        <v>232</v>
      </c>
      <c r="D4" s="102" t="s">
        <v>233</v>
      </c>
      <c r="E4" s="102" t="s">
        <v>234</v>
      </c>
    </row>
    <row r="5" spans="1:5" ht="29" x14ac:dyDescent="0.35">
      <c r="A5" s="3" t="s">
        <v>174</v>
      </c>
      <c r="B5" s="3" t="s">
        <v>235</v>
      </c>
      <c r="C5" s="2" t="s">
        <v>236</v>
      </c>
      <c r="D5" s="73" t="s">
        <v>235</v>
      </c>
      <c r="E5" s="3" t="s">
        <v>237</v>
      </c>
    </row>
    <row r="6" spans="1:5" x14ac:dyDescent="0.35">
      <c r="A6" s="43" t="s">
        <v>238</v>
      </c>
      <c r="B6" s="3" t="s">
        <v>235</v>
      </c>
      <c r="C6" s="3" t="s">
        <v>239</v>
      </c>
      <c r="D6" s="73" t="s">
        <v>235</v>
      </c>
      <c r="E6" s="3" t="s">
        <v>43</v>
      </c>
    </row>
    <row r="7" spans="1:5" x14ac:dyDescent="0.35">
      <c r="A7" s="3" t="s">
        <v>240</v>
      </c>
      <c r="B7" s="3" t="s">
        <v>235</v>
      </c>
      <c r="C7" s="3" t="s">
        <v>241</v>
      </c>
      <c r="D7" s="73" t="s">
        <v>242</v>
      </c>
      <c r="E7" s="3" t="s">
        <v>243</v>
      </c>
    </row>
    <row r="8" spans="1:5" x14ac:dyDescent="0.35">
      <c r="A8" s="43" t="s">
        <v>244</v>
      </c>
      <c r="B8" s="3" t="s">
        <v>235</v>
      </c>
      <c r="C8" s="3" t="s">
        <v>245</v>
      </c>
      <c r="D8" s="73" t="s">
        <v>235</v>
      </c>
      <c r="E8" s="3" t="s">
        <v>246</v>
      </c>
    </row>
    <row r="9" spans="1:5" hidden="1" x14ac:dyDescent="0.35">
      <c r="A9" s="3" t="s">
        <v>13</v>
      </c>
      <c r="B9" s="3"/>
      <c r="C9" s="3"/>
      <c r="D9" s="3"/>
      <c r="E9" s="98" t="s">
        <v>247</v>
      </c>
    </row>
    <row r="10" spans="1:5" hidden="1" x14ac:dyDescent="0.35">
      <c r="A10" s="3" t="s">
        <v>16</v>
      </c>
      <c r="B10" s="3"/>
      <c r="C10" s="3"/>
      <c r="D10" s="3"/>
      <c r="E10" s="3"/>
    </row>
    <row r="11" spans="1:5" x14ac:dyDescent="0.35">
      <c r="A11" s="43" t="s">
        <v>248</v>
      </c>
      <c r="B11" s="3" t="s">
        <v>235</v>
      </c>
      <c r="C11" s="3" t="s">
        <v>249</v>
      </c>
      <c r="D11" s="73" t="s">
        <v>235</v>
      </c>
      <c r="E11" s="3" t="s">
        <v>250</v>
      </c>
    </row>
    <row r="12" spans="1:5" ht="15" customHeight="1" x14ac:dyDescent="0.35">
      <c r="A12" s="3" t="s">
        <v>17</v>
      </c>
      <c r="B12" s="3" t="s">
        <v>235</v>
      </c>
      <c r="C12" s="42" t="s">
        <v>251</v>
      </c>
      <c r="D12" s="73" t="s">
        <v>152</v>
      </c>
      <c r="E12" s="3" t="s">
        <v>252</v>
      </c>
    </row>
    <row r="13" spans="1:5" ht="15" customHeight="1" x14ac:dyDescent="0.35">
      <c r="A13" s="3" t="s">
        <v>20</v>
      </c>
      <c r="B13" s="3" t="s">
        <v>235</v>
      </c>
      <c r="C13" s="42" t="s">
        <v>251</v>
      </c>
      <c r="D13" s="73" t="s">
        <v>152</v>
      </c>
      <c r="E13" s="98" t="s">
        <v>253</v>
      </c>
    </row>
    <row r="14" spans="1:5" ht="43.5" x14ac:dyDescent="0.35">
      <c r="A14" s="43" t="s">
        <v>254</v>
      </c>
      <c r="B14" s="3" t="s">
        <v>235</v>
      </c>
      <c r="C14" s="2" t="s">
        <v>255</v>
      </c>
      <c r="D14" s="73" t="s">
        <v>235</v>
      </c>
      <c r="E14" s="3" t="s">
        <v>256</v>
      </c>
    </row>
    <row r="15" spans="1:5" ht="15" customHeight="1" x14ac:dyDescent="0.35">
      <c r="A15" s="3" t="s">
        <v>24</v>
      </c>
      <c r="B15" s="3" t="s">
        <v>235</v>
      </c>
      <c r="C15" s="42" t="s">
        <v>251</v>
      </c>
      <c r="D15" s="73" t="s">
        <v>152</v>
      </c>
      <c r="E15" s="3" t="s">
        <v>257</v>
      </c>
    </row>
    <row r="16" spans="1:5" ht="43.5" x14ac:dyDescent="0.35">
      <c r="A16" s="3" t="s">
        <v>258</v>
      </c>
      <c r="B16" s="3" t="s">
        <v>235</v>
      </c>
      <c r="C16" s="2" t="s">
        <v>259</v>
      </c>
      <c r="D16" s="73" t="s">
        <v>235</v>
      </c>
      <c r="E16" s="3" t="s">
        <v>260</v>
      </c>
    </row>
    <row r="17" spans="1:5" ht="15" hidden="1" customHeight="1" x14ac:dyDescent="0.35">
      <c r="A17" s="3" t="s">
        <v>261</v>
      </c>
      <c r="B17" s="3"/>
      <c r="C17" s="3"/>
      <c r="D17" s="3"/>
      <c r="E17" s="3" t="s">
        <v>262</v>
      </c>
    </row>
    <row r="18" spans="1:5" x14ac:dyDescent="0.35">
      <c r="A18" s="3" t="s">
        <v>263</v>
      </c>
      <c r="B18" s="3" t="s">
        <v>235</v>
      </c>
      <c r="C18" s="3" t="s">
        <v>264</v>
      </c>
      <c r="D18" s="73" t="s">
        <v>235</v>
      </c>
      <c r="E18" s="3" t="s">
        <v>265</v>
      </c>
    </row>
    <row r="19" spans="1:5" x14ac:dyDescent="0.35">
      <c r="A19" s="3" t="s">
        <v>266</v>
      </c>
      <c r="B19" s="3" t="s">
        <v>235</v>
      </c>
      <c r="C19" s="42" t="s">
        <v>251</v>
      </c>
      <c r="D19" s="73" t="s">
        <v>152</v>
      </c>
      <c r="E19" s="3" t="s">
        <v>267</v>
      </c>
    </row>
    <row r="20" spans="1:5" x14ac:dyDescent="0.35">
      <c r="A20" s="43" t="s">
        <v>268</v>
      </c>
      <c r="B20" s="3" t="s">
        <v>235</v>
      </c>
      <c r="C20" s="3" t="s">
        <v>269</v>
      </c>
      <c r="D20" s="73" t="s">
        <v>235</v>
      </c>
      <c r="E20" s="3" t="s">
        <v>270</v>
      </c>
    </row>
    <row r="21" spans="1:5" x14ac:dyDescent="0.35">
      <c r="A21" s="43" t="s">
        <v>271</v>
      </c>
      <c r="B21" s="3" t="s">
        <v>235</v>
      </c>
      <c r="C21" s="42" t="s">
        <v>251</v>
      </c>
      <c r="D21" s="73" t="s">
        <v>152</v>
      </c>
      <c r="E21" s="3" t="s">
        <v>272</v>
      </c>
    </row>
    <row r="22" spans="1:5" x14ac:dyDescent="0.35">
      <c r="A22" s="3" t="s">
        <v>22</v>
      </c>
      <c r="B22" s="3" t="s">
        <v>235</v>
      </c>
      <c r="C22" s="42" t="s">
        <v>251</v>
      </c>
      <c r="D22" s="73" t="s">
        <v>152</v>
      </c>
      <c r="E22" s="3" t="s">
        <v>273</v>
      </c>
    </row>
    <row r="23" spans="1:5" x14ac:dyDescent="0.35">
      <c r="A23" s="3" t="s">
        <v>26</v>
      </c>
      <c r="B23" s="3" t="s">
        <v>235</v>
      </c>
      <c r="C23" s="3" t="s">
        <v>241</v>
      </c>
      <c r="D23" s="73" t="s">
        <v>152</v>
      </c>
      <c r="E23" s="3" t="s">
        <v>274</v>
      </c>
    </row>
    <row r="24" spans="1:5" ht="29" x14ac:dyDescent="0.35">
      <c r="A24" s="3" t="s">
        <v>275</v>
      </c>
      <c r="B24" s="3" t="s">
        <v>235</v>
      </c>
      <c r="C24" s="2" t="s">
        <v>236</v>
      </c>
      <c r="D24" s="73" t="s">
        <v>152</v>
      </c>
      <c r="E24" s="3" t="s">
        <v>276</v>
      </c>
    </row>
    <row r="25" spans="1:5" x14ac:dyDescent="0.35">
      <c r="A25" s="3" t="s">
        <v>277</v>
      </c>
      <c r="B25" s="3" t="s">
        <v>235</v>
      </c>
      <c r="C25" s="42" t="s">
        <v>251</v>
      </c>
      <c r="D25" s="73" t="s">
        <v>152</v>
      </c>
      <c r="E25" s="3" t="s">
        <v>278</v>
      </c>
    </row>
    <row r="26" spans="1:5" hidden="1" x14ac:dyDescent="0.35">
      <c r="A26" s="3" t="s">
        <v>279</v>
      </c>
      <c r="B26" s="3"/>
      <c r="C26" s="3"/>
      <c r="D26" s="3"/>
      <c r="E26" s="3" t="s">
        <v>278</v>
      </c>
    </row>
    <row r="27" spans="1:5" x14ac:dyDescent="0.35">
      <c r="A27" s="3" t="s">
        <v>280</v>
      </c>
      <c r="B27" s="3" t="s">
        <v>235</v>
      </c>
      <c r="C27" s="42" t="s">
        <v>251</v>
      </c>
      <c r="D27" s="73" t="s">
        <v>152</v>
      </c>
      <c r="E27" s="3" t="s">
        <v>278</v>
      </c>
    </row>
    <row r="28" spans="1:5" x14ac:dyDescent="0.35">
      <c r="A28" s="3" t="s">
        <v>281</v>
      </c>
      <c r="B28" s="3" t="s">
        <v>235</v>
      </c>
      <c r="C28" s="42" t="s">
        <v>251</v>
      </c>
      <c r="D28" s="73" t="s">
        <v>152</v>
      </c>
      <c r="E28" s="3" t="s">
        <v>282</v>
      </c>
    </row>
    <row r="29" spans="1:5" x14ac:dyDescent="0.35">
      <c r="A29" s="43" t="s">
        <v>283</v>
      </c>
      <c r="B29" s="3" t="s">
        <v>235</v>
      </c>
      <c r="C29" s="42" t="s">
        <v>251</v>
      </c>
      <c r="D29" s="73" t="s">
        <v>152</v>
      </c>
      <c r="E29" s="3" t="s">
        <v>273</v>
      </c>
    </row>
    <row r="30" spans="1:5" x14ac:dyDescent="0.35">
      <c r="A30" s="43" t="s">
        <v>284</v>
      </c>
      <c r="B30" s="3" t="s">
        <v>235</v>
      </c>
      <c r="C30" s="42" t="s">
        <v>251</v>
      </c>
      <c r="D30" s="73" t="s">
        <v>152</v>
      </c>
      <c r="E30" s="3" t="s">
        <v>285</v>
      </c>
    </row>
    <row r="31" spans="1:5" hidden="1" x14ac:dyDescent="0.35">
      <c r="A31" s="3" t="s">
        <v>286</v>
      </c>
      <c r="B31" s="3"/>
      <c r="C31" s="3"/>
      <c r="D31" s="3"/>
      <c r="E31" s="3" t="s">
        <v>287</v>
      </c>
    </row>
    <row r="32" spans="1:5" hidden="1" x14ac:dyDescent="0.35">
      <c r="A32" s="3" t="s">
        <v>288</v>
      </c>
      <c r="B32" s="3"/>
      <c r="C32" s="3"/>
      <c r="D32" s="3"/>
      <c r="E32" s="3" t="s">
        <v>289</v>
      </c>
    </row>
    <row r="33" spans="1:5" hidden="1" x14ac:dyDescent="0.35">
      <c r="A33" s="3" t="s">
        <v>290</v>
      </c>
      <c r="B33" s="3"/>
      <c r="C33" s="3"/>
      <c r="D33" s="3"/>
      <c r="E33" s="3"/>
    </row>
  </sheetData>
  <autoFilter ref="A4:B33" xr:uid="{00000000-0001-0000-0900-000000000000}">
    <filterColumn colId="1">
      <customFilters>
        <customFilter operator="notEqual" val=" "/>
      </customFilters>
    </filterColumn>
  </autoFilter>
  <mergeCells count="1">
    <mergeCell ref="A2:B2"/>
  </mergeCells>
  <hyperlinks>
    <hyperlink ref="A1" location="'Summary '!A1" display="&lt;- Summary" xr:uid="{825E2F77-176C-493C-AE9E-BC5822977163}"/>
  </hyperlinks>
  <pageMargins left="0.7" right="0.7" top="0.75" bottom="0.75" header="0.3" footer="0.3"/>
  <pageSetup orientation="portrait" r:id="rId1"/>
  <headerFooter>
    <oddFooter>&amp;L_x000D_&amp;1#&amp;"Aptos"&amp;10&amp;K000000 Internal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F1EB7-1163-40D8-8C9E-4EBD8A669430}">
  <sheetPr>
    <tabColor rgb="FFFFFF00"/>
  </sheetPr>
  <dimension ref="A1:J19"/>
  <sheetViews>
    <sheetView zoomScale="80" zoomScaleNormal="80" workbookViewId="0">
      <pane xSplit="2" topLeftCell="C1" activePane="topRight" state="frozen"/>
      <selection pane="topRight" activeCell="B28" sqref="B28"/>
    </sheetView>
  </sheetViews>
  <sheetFormatPr defaultRowHeight="14.5" x14ac:dyDescent="0.35"/>
  <cols>
    <col min="1" max="1" width="11.54296875" bestFit="1" customWidth="1"/>
    <col min="2" max="2" width="33.54296875" customWidth="1"/>
    <col min="3" max="6" width="44.1796875" customWidth="1"/>
    <col min="7" max="7" width="43.7265625" customWidth="1"/>
    <col min="8" max="8" width="32.453125" customWidth="1"/>
    <col min="9" max="9" width="29.1796875" style="71" bestFit="1" customWidth="1"/>
    <col min="10" max="10" width="29.453125" customWidth="1"/>
  </cols>
  <sheetData>
    <row r="1" spans="1:10" ht="23.5" x14ac:dyDescent="0.55000000000000004">
      <c r="B1" s="112"/>
      <c r="C1" s="3"/>
      <c r="D1" s="3"/>
      <c r="E1" s="3"/>
      <c r="F1" s="3"/>
      <c r="G1" s="3"/>
      <c r="H1" s="3"/>
      <c r="I1" s="73"/>
    </row>
    <row r="2" spans="1:10" x14ac:dyDescent="0.35">
      <c r="B2" s="180" t="s">
        <v>228</v>
      </c>
      <c r="C2" s="180"/>
      <c r="D2" s="113"/>
      <c r="E2" s="113"/>
      <c r="F2" s="113"/>
      <c r="G2" s="48"/>
      <c r="H2" s="48"/>
      <c r="I2" s="73"/>
    </row>
    <row r="3" spans="1:10" ht="32.5" customHeight="1" x14ac:dyDescent="0.35">
      <c r="B3" s="123"/>
      <c r="C3" s="123"/>
      <c r="D3" s="123"/>
      <c r="E3" s="123"/>
      <c r="F3" s="123"/>
      <c r="G3" s="62"/>
      <c r="H3" s="62"/>
      <c r="I3" s="124"/>
    </row>
    <row r="4" spans="1:10" ht="32.5" customHeight="1" x14ac:dyDescent="0.35">
      <c r="A4" s="181" t="s">
        <v>291</v>
      </c>
      <c r="B4" s="181"/>
      <c r="C4" s="181"/>
      <c r="D4" s="181"/>
      <c r="E4" s="181"/>
      <c r="F4" s="181"/>
      <c r="G4" s="181"/>
      <c r="H4" s="181"/>
      <c r="I4" s="125"/>
    </row>
    <row r="5" spans="1:10" s="1" customFormat="1" ht="30" customHeight="1" x14ac:dyDescent="0.35">
      <c r="A5" s="181" t="s">
        <v>292</v>
      </c>
      <c r="B5" s="181"/>
      <c r="C5" s="181"/>
      <c r="D5" s="181"/>
      <c r="E5" s="181"/>
      <c r="F5" s="181"/>
      <c r="G5" s="181"/>
      <c r="H5" s="181"/>
      <c r="I5" s="125"/>
    </row>
    <row r="6" spans="1:10" s="103" customFormat="1" ht="15.5" x14ac:dyDescent="0.35">
      <c r="A6" s="28" t="s">
        <v>293</v>
      </c>
      <c r="B6" s="28" t="s">
        <v>230</v>
      </c>
      <c r="C6" s="28" t="s">
        <v>294</v>
      </c>
      <c r="D6" s="47" t="s">
        <v>295</v>
      </c>
      <c r="E6" s="47" t="s">
        <v>296</v>
      </c>
      <c r="F6" s="47" t="s">
        <v>234</v>
      </c>
      <c r="G6" s="46" t="s">
        <v>297</v>
      </c>
      <c r="H6" s="46" t="s">
        <v>298</v>
      </c>
      <c r="I6" s="102" t="s">
        <v>167</v>
      </c>
    </row>
    <row r="7" spans="1:10" ht="72.5" x14ac:dyDescent="0.35">
      <c r="A7" s="6" t="s">
        <v>299</v>
      </c>
      <c r="B7" s="6" t="s">
        <v>174</v>
      </c>
      <c r="C7" s="8" t="s">
        <v>300</v>
      </c>
      <c r="D7" s="3" t="s">
        <v>235</v>
      </c>
      <c r="E7" s="3" t="s">
        <v>276</v>
      </c>
      <c r="F7" s="3" t="s">
        <v>276</v>
      </c>
      <c r="G7" s="59" t="s">
        <v>301</v>
      </c>
      <c r="H7" s="6" t="s">
        <v>302</v>
      </c>
      <c r="I7" s="59" t="s">
        <v>303</v>
      </c>
    </row>
    <row r="8" spans="1:10" ht="43.5" x14ac:dyDescent="0.35">
      <c r="A8" s="6" t="s">
        <v>304</v>
      </c>
      <c r="B8" s="120" t="s">
        <v>238</v>
      </c>
      <c r="C8" s="8" t="s">
        <v>305</v>
      </c>
      <c r="D8" s="3" t="s">
        <v>235</v>
      </c>
      <c r="E8" s="3" t="s">
        <v>306</v>
      </c>
      <c r="F8" s="3" t="s">
        <v>43</v>
      </c>
      <c r="G8" s="8" t="s">
        <v>307</v>
      </c>
      <c r="H8" s="59" t="s">
        <v>308</v>
      </c>
      <c r="I8" s="24" t="s">
        <v>309</v>
      </c>
    </row>
    <row r="9" spans="1:10" x14ac:dyDescent="0.35">
      <c r="A9" s="6" t="s">
        <v>310</v>
      </c>
      <c r="B9" s="6" t="s">
        <v>240</v>
      </c>
      <c r="C9" s="8" t="s">
        <v>311</v>
      </c>
      <c r="D9" s="3" t="s">
        <v>235</v>
      </c>
      <c r="E9" s="3" t="s">
        <v>243</v>
      </c>
      <c r="F9" s="3" t="s">
        <v>243</v>
      </c>
      <c r="G9" s="6" t="s">
        <v>312</v>
      </c>
      <c r="H9" s="6" t="s">
        <v>302</v>
      </c>
      <c r="I9" s="8"/>
    </row>
    <row r="10" spans="1:10" ht="101.5" x14ac:dyDescent="0.35">
      <c r="A10" s="6" t="s">
        <v>313</v>
      </c>
      <c r="B10" s="120" t="s">
        <v>244</v>
      </c>
      <c r="C10" s="8" t="s">
        <v>314</v>
      </c>
      <c r="D10" s="3" t="s">
        <v>235</v>
      </c>
      <c r="E10" s="3" t="s">
        <v>276</v>
      </c>
      <c r="F10" s="3" t="s">
        <v>246</v>
      </c>
      <c r="G10" s="8" t="s">
        <v>315</v>
      </c>
      <c r="H10" s="6" t="s">
        <v>302</v>
      </c>
      <c r="I10" s="8"/>
      <c r="J10" s="8" t="s">
        <v>316</v>
      </c>
    </row>
    <row r="11" spans="1:10" ht="58" x14ac:dyDescent="0.35">
      <c r="A11" s="6" t="s">
        <v>317</v>
      </c>
      <c r="B11" s="120" t="s">
        <v>248</v>
      </c>
      <c r="C11" s="8" t="s">
        <v>318</v>
      </c>
      <c r="D11" s="3" t="s">
        <v>235</v>
      </c>
      <c r="E11" s="3" t="s">
        <v>276</v>
      </c>
      <c r="F11" s="3" t="s">
        <v>250</v>
      </c>
      <c r="G11" s="6" t="s">
        <v>312</v>
      </c>
      <c r="H11" s="6" t="s">
        <v>302</v>
      </c>
      <c r="I11" s="15"/>
    </row>
    <row r="12" spans="1:10" ht="43.5" x14ac:dyDescent="0.35">
      <c r="A12" s="6" t="s">
        <v>319</v>
      </c>
      <c r="B12" s="120" t="s">
        <v>254</v>
      </c>
      <c r="C12" s="8" t="s">
        <v>320</v>
      </c>
      <c r="D12" s="3" t="s">
        <v>235</v>
      </c>
      <c r="E12" s="3" t="s">
        <v>276</v>
      </c>
      <c r="F12" s="3" t="s">
        <v>256</v>
      </c>
      <c r="G12" s="59" t="s">
        <v>321</v>
      </c>
      <c r="H12" s="6" t="s">
        <v>302</v>
      </c>
      <c r="I12" s="63" t="s">
        <v>322</v>
      </c>
    </row>
    <row r="13" spans="1:10" ht="29" x14ac:dyDescent="0.35">
      <c r="A13" s="6" t="s">
        <v>323</v>
      </c>
      <c r="B13" s="6" t="s">
        <v>324</v>
      </c>
      <c r="C13" s="8" t="s">
        <v>325</v>
      </c>
      <c r="D13" s="3" t="s">
        <v>235</v>
      </c>
      <c r="E13" s="3" t="s">
        <v>306</v>
      </c>
      <c r="F13" s="3" t="s">
        <v>260</v>
      </c>
      <c r="G13" s="59" t="s">
        <v>326</v>
      </c>
      <c r="H13" s="6" t="s">
        <v>302</v>
      </c>
      <c r="I13" s="15"/>
    </row>
    <row r="14" spans="1:10" x14ac:dyDescent="0.35">
      <c r="A14" s="6" t="s">
        <v>327</v>
      </c>
      <c r="B14" s="6" t="s">
        <v>263</v>
      </c>
      <c r="C14" s="6"/>
      <c r="D14" s="3" t="s">
        <v>235</v>
      </c>
      <c r="E14" s="3" t="s">
        <v>306</v>
      </c>
      <c r="F14" s="3" t="s">
        <v>265</v>
      </c>
      <c r="G14" s="6" t="s">
        <v>312</v>
      </c>
      <c r="H14" s="6" t="s">
        <v>302</v>
      </c>
      <c r="I14" s="72"/>
    </row>
    <row r="15" spans="1:10" x14ac:dyDescent="0.35">
      <c r="A15" s="6" t="s">
        <v>328</v>
      </c>
      <c r="B15" s="6" t="s">
        <v>266</v>
      </c>
      <c r="C15" s="8" t="s">
        <v>329</v>
      </c>
      <c r="D15" s="3" t="s">
        <v>235</v>
      </c>
      <c r="E15" s="3" t="s">
        <v>306</v>
      </c>
      <c r="F15" s="3" t="s">
        <v>267</v>
      </c>
      <c r="G15" s="6" t="s">
        <v>312</v>
      </c>
      <c r="H15" s="6" t="s">
        <v>302</v>
      </c>
      <c r="I15" s="121" t="s">
        <v>330</v>
      </c>
    </row>
    <row r="16" spans="1:10" ht="43.5" x14ac:dyDescent="0.35">
      <c r="A16" s="6" t="s">
        <v>331</v>
      </c>
      <c r="B16" s="6" t="s">
        <v>332</v>
      </c>
      <c r="C16" s="8"/>
      <c r="D16" s="3"/>
      <c r="E16" s="3"/>
      <c r="F16" s="3" t="s">
        <v>332</v>
      </c>
      <c r="G16" s="122" t="s">
        <v>333</v>
      </c>
      <c r="H16" s="59" t="s">
        <v>308</v>
      </c>
      <c r="I16" s="8" t="s">
        <v>334</v>
      </c>
    </row>
    <row r="17" spans="1:9" x14ac:dyDescent="0.35">
      <c r="A17" s="6" t="s">
        <v>335</v>
      </c>
      <c r="B17" s="6" t="s">
        <v>336</v>
      </c>
      <c r="C17" s="6"/>
      <c r="D17" s="3"/>
      <c r="E17" s="3"/>
      <c r="F17" s="3" t="s">
        <v>336</v>
      </c>
      <c r="G17" s="122" t="s">
        <v>337</v>
      </c>
      <c r="H17" s="59" t="s">
        <v>308</v>
      </c>
      <c r="I17" s="15"/>
    </row>
    <row r="19" spans="1:9" x14ac:dyDescent="0.35">
      <c r="B19" s="156"/>
    </row>
  </sheetData>
  <autoFilter ref="B6:C17" xr:uid="{00000000-0001-0000-0900-000000000000}"/>
  <mergeCells count="3">
    <mergeCell ref="B2:C2"/>
    <mergeCell ref="A4:H4"/>
    <mergeCell ref="A5:H5"/>
  </mergeCells>
  <phoneticPr fontId="17" type="noConversion"/>
  <pageMargins left="0.7" right="0.7" top="0.75" bottom="0.75" header="0.3" footer="0.3"/>
  <pageSetup orientation="portrait" r:id="rId1"/>
  <headerFooter>
    <oddFooter>&amp;L_x000D_&amp;1#&amp;"Aptos"&amp;10&amp;K000000 Internal</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2">
    <tabColor rgb="FFFFFF00"/>
  </sheetPr>
  <dimension ref="A1:L19"/>
  <sheetViews>
    <sheetView tabSelected="1" topLeftCell="A6" zoomScale="89" zoomScaleNormal="100" workbookViewId="0">
      <pane xSplit="2" topLeftCell="C1" activePane="topRight" state="frozen"/>
      <selection activeCell="A3" sqref="A3"/>
      <selection pane="topRight" activeCell="J5" sqref="J5"/>
    </sheetView>
  </sheetViews>
  <sheetFormatPr defaultRowHeight="14.5" x14ac:dyDescent="0.35"/>
  <cols>
    <col min="2" max="2" width="24" bestFit="1" customWidth="1"/>
    <col min="3" max="3" width="34" customWidth="1"/>
    <col min="4" max="4" width="21.54296875" hidden="1" customWidth="1"/>
    <col min="5" max="5" width="21.81640625" hidden="1" customWidth="1"/>
    <col min="6" max="6" width="17.81640625" hidden="1" customWidth="1"/>
    <col min="7" max="7" width="43.81640625" bestFit="1" customWidth="1"/>
    <col min="8" max="8" width="15.1796875" customWidth="1"/>
    <col min="9" max="9" width="29" bestFit="1" customWidth="1"/>
    <col min="10" max="10" width="10.1796875" customWidth="1"/>
    <col min="11" max="11" width="15.26953125" bestFit="1" customWidth="1"/>
    <col min="12" max="12" width="13.1796875" customWidth="1"/>
  </cols>
  <sheetData>
    <row r="1" spans="1:12" ht="23.5" x14ac:dyDescent="0.35">
      <c r="B1" s="37"/>
    </row>
    <row r="2" spans="1:12" ht="56.5" customHeight="1" x14ac:dyDescent="0.35">
      <c r="B2" s="182" t="s">
        <v>338</v>
      </c>
      <c r="C2" s="182"/>
      <c r="D2" s="173"/>
      <c r="E2" s="173"/>
      <c r="F2" s="173"/>
    </row>
    <row r="3" spans="1:12" ht="56.5" customHeight="1" x14ac:dyDescent="0.35">
      <c r="B3" s="126"/>
      <c r="C3" s="126"/>
      <c r="D3" s="62"/>
      <c r="E3" s="62"/>
      <c r="F3" s="62"/>
    </row>
    <row r="4" spans="1:12" x14ac:dyDescent="0.35">
      <c r="A4" s="181" t="s">
        <v>339</v>
      </c>
      <c r="B4" s="181"/>
      <c r="C4" s="181"/>
      <c r="D4" s="181"/>
      <c r="E4" s="181"/>
      <c r="F4" s="181"/>
      <c r="G4" s="181"/>
      <c r="H4" s="181"/>
    </row>
    <row r="5" spans="1:12" s="35" customFormat="1" ht="70" customHeight="1" x14ac:dyDescent="0.35">
      <c r="A5" s="181" t="s">
        <v>340</v>
      </c>
      <c r="B5" s="181"/>
      <c r="C5" s="181"/>
      <c r="D5" s="181"/>
      <c r="E5" s="181"/>
      <c r="F5" s="181"/>
      <c r="G5" s="181"/>
      <c r="H5" s="181"/>
    </row>
    <row r="6" spans="1:12" s="40" customFormat="1" ht="31" x14ac:dyDescent="0.35">
      <c r="A6" s="28" t="s">
        <v>293</v>
      </c>
      <c r="B6" s="28" t="s">
        <v>230</v>
      </c>
      <c r="C6" s="28" t="s">
        <v>294</v>
      </c>
      <c r="D6" s="105" t="s">
        <v>295</v>
      </c>
      <c r="E6" s="105" t="s">
        <v>296</v>
      </c>
      <c r="F6" s="105" t="s">
        <v>234</v>
      </c>
      <c r="G6" s="46" t="s">
        <v>297</v>
      </c>
      <c r="H6" s="46" t="s">
        <v>298</v>
      </c>
      <c r="I6" s="102" t="s">
        <v>167</v>
      </c>
    </row>
    <row r="7" spans="1:12" ht="72.5" x14ac:dyDescent="0.35">
      <c r="A7" s="6" t="s">
        <v>341</v>
      </c>
      <c r="B7" s="6" t="s">
        <v>342</v>
      </c>
      <c r="C7" s="6"/>
      <c r="D7" s="6" t="s">
        <v>235</v>
      </c>
      <c r="E7" s="6" t="s">
        <v>343</v>
      </c>
      <c r="F7" s="6" t="s">
        <v>43</v>
      </c>
      <c r="G7" s="8" t="s">
        <v>344</v>
      </c>
      <c r="H7" s="8" t="s">
        <v>308</v>
      </c>
      <c r="I7" s="2" t="s">
        <v>345</v>
      </c>
    </row>
    <row r="8" spans="1:12" x14ac:dyDescent="0.35">
      <c r="A8" s="6" t="s">
        <v>346</v>
      </c>
      <c r="B8" s="6" t="s">
        <v>240</v>
      </c>
      <c r="C8" s="6"/>
      <c r="D8" s="6" t="s">
        <v>235</v>
      </c>
      <c r="E8" s="6" t="s">
        <v>343</v>
      </c>
      <c r="F8" s="6" t="s">
        <v>347</v>
      </c>
      <c r="G8" s="6" t="s">
        <v>312</v>
      </c>
      <c r="H8" s="6" t="s">
        <v>302</v>
      </c>
      <c r="I8" s="3"/>
    </row>
    <row r="9" spans="1:12" ht="72.5" x14ac:dyDescent="0.35">
      <c r="A9" s="6" t="s">
        <v>348</v>
      </c>
      <c r="B9" s="6" t="s">
        <v>349</v>
      </c>
      <c r="C9" s="8" t="s">
        <v>350</v>
      </c>
      <c r="D9" s="6" t="s">
        <v>235</v>
      </c>
      <c r="E9" s="6" t="s">
        <v>343</v>
      </c>
      <c r="F9" s="6" t="s">
        <v>351</v>
      </c>
      <c r="G9" s="6" t="s">
        <v>312</v>
      </c>
      <c r="H9" s="6" t="s">
        <v>302</v>
      </c>
      <c r="I9" s="7"/>
      <c r="J9" s="117" t="s">
        <v>352</v>
      </c>
      <c r="K9" s="117" t="s">
        <v>353</v>
      </c>
    </row>
    <row r="10" spans="1:12" ht="72.5" x14ac:dyDescent="0.35">
      <c r="A10" s="6" t="s">
        <v>354</v>
      </c>
      <c r="B10" s="6" t="s">
        <v>355</v>
      </c>
      <c r="C10" s="8" t="s">
        <v>356</v>
      </c>
      <c r="D10" s="6" t="s">
        <v>235</v>
      </c>
      <c r="E10" s="6" t="s">
        <v>343</v>
      </c>
      <c r="F10" s="8" t="s">
        <v>357</v>
      </c>
      <c r="G10" s="8" t="s">
        <v>358</v>
      </c>
      <c r="H10" s="6" t="s">
        <v>302</v>
      </c>
      <c r="I10" s="9" t="s">
        <v>359</v>
      </c>
      <c r="J10" t="e" vm="1">
        <v>#VALUE!</v>
      </c>
      <c r="K10" t="e" vm="2">
        <v>#VALUE!</v>
      </c>
      <c r="L10" s="1" t="s">
        <v>360</v>
      </c>
    </row>
    <row r="11" spans="1:12" ht="29.5" thickBot="1" x14ac:dyDescent="0.4">
      <c r="A11" s="6" t="s">
        <v>361</v>
      </c>
      <c r="B11" s="106" t="s">
        <v>362</v>
      </c>
      <c r="C11" s="8"/>
      <c r="D11" s="6"/>
      <c r="E11" s="6"/>
      <c r="F11" s="6"/>
      <c r="G11" s="23" t="s">
        <v>363</v>
      </c>
      <c r="H11" s="8" t="s">
        <v>308</v>
      </c>
      <c r="I11" s="3"/>
    </row>
    <row r="12" spans="1:12" x14ac:dyDescent="0.35">
      <c r="C12" s="1"/>
      <c r="K12" s="118" t="s">
        <v>364</v>
      </c>
      <c r="L12" s="119" t="s">
        <v>365</v>
      </c>
    </row>
    <row r="13" spans="1:12" x14ac:dyDescent="0.35">
      <c r="K13" s="11" t="s">
        <v>366</v>
      </c>
      <c r="L13" s="12" t="s">
        <v>367</v>
      </c>
    </row>
    <row r="14" spans="1:12" x14ac:dyDescent="0.35">
      <c r="K14" s="11"/>
      <c r="L14" s="12" t="s">
        <v>368</v>
      </c>
    </row>
    <row r="15" spans="1:12" x14ac:dyDescent="0.35">
      <c r="K15" s="11"/>
      <c r="L15" s="12" t="s">
        <v>369</v>
      </c>
    </row>
    <row r="16" spans="1:12" x14ac:dyDescent="0.35">
      <c r="K16" s="11"/>
      <c r="L16" s="12" t="s">
        <v>370</v>
      </c>
    </row>
    <row r="17" spans="11:12" x14ac:dyDescent="0.35">
      <c r="K17" s="11"/>
      <c r="L17" s="12" t="s">
        <v>371</v>
      </c>
    </row>
    <row r="18" spans="11:12" ht="15" thickBot="1" x14ac:dyDescent="0.4">
      <c r="K18" s="13"/>
      <c r="L18" s="14" t="s">
        <v>372</v>
      </c>
    </row>
    <row r="19" spans="11:12" ht="15" thickBot="1" x14ac:dyDescent="0.4">
      <c r="K19" s="183" t="s">
        <v>373</v>
      </c>
      <c r="L19" s="184"/>
    </row>
  </sheetData>
  <autoFilter ref="D6:F6" xr:uid="{00000000-0001-0000-0C00-000000000000}"/>
  <customSheetViews>
    <customSheetView guid="{183AA635-FA98-4C70-9AA7-962C7F5F677C}" showAutoFilter="1" hiddenColumns="1">
      <selection sqref="A1:K1"/>
      <pageMargins left="0" right="0" top="0" bottom="0" header="0" footer="0"/>
      <pageSetup orientation="portrait" r:id="rId1"/>
      <autoFilter ref="A2:P11" xr:uid="{31D135D1-19CC-4FAC-B376-2E81581D0D4E}"/>
    </customSheetView>
  </customSheetViews>
  <mergeCells count="5">
    <mergeCell ref="B2:C2"/>
    <mergeCell ref="D2:F2"/>
    <mergeCell ref="K19:L19"/>
    <mergeCell ref="A4:H4"/>
    <mergeCell ref="A5:H5"/>
  </mergeCells>
  <phoneticPr fontId="17" type="noConversion"/>
  <pageMargins left="0.7" right="0.7" top="0.75" bottom="0.75" header="0.3" footer="0.3"/>
  <pageSetup orientation="portrait" r:id="rId2"/>
  <headerFooter>
    <oddFooter>&amp;L_x000D_&amp;1#&amp;"Aptos"&amp;10&amp;K000000 Internal</oddFooter>
  </headerFooter>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3">
    <tabColor rgb="FFFFFF00"/>
  </sheetPr>
  <dimension ref="A1:I42"/>
  <sheetViews>
    <sheetView zoomScale="80" zoomScaleNormal="80" workbookViewId="0">
      <pane xSplit="2" topLeftCell="C1" activePane="topRight" state="frozen"/>
      <selection activeCell="A3" sqref="A3"/>
      <selection pane="topRight" activeCell="B35" sqref="B35"/>
    </sheetView>
  </sheetViews>
  <sheetFormatPr defaultRowHeight="14.5" x14ac:dyDescent="0.35"/>
  <cols>
    <col min="2" max="2" width="19.1796875" style="1" customWidth="1"/>
    <col min="3" max="3" width="28.1796875" customWidth="1"/>
    <col min="4" max="4" width="21.1796875" hidden="1" customWidth="1"/>
    <col min="5" max="5" width="31.26953125" hidden="1" customWidth="1"/>
    <col min="6" max="6" width="11.81640625" hidden="1" customWidth="1"/>
    <col min="7" max="7" width="37.81640625" style="1" bestFit="1" customWidth="1"/>
    <col min="8" max="8" width="16.26953125" style="1" customWidth="1"/>
    <col min="9" max="9" width="31.1796875" bestFit="1" customWidth="1"/>
  </cols>
  <sheetData>
    <row r="1" spans="1:9" ht="23.5" x14ac:dyDescent="0.55000000000000004">
      <c r="B1" s="132"/>
    </row>
    <row r="2" spans="1:9" ht="18.649999999999999" customHeight="1" x14ac:dyDescent="0.35">
      <c r="B2" s="187" t="s">
        <v>374</v>
      </c>
      <c r="C2" s="188"/>
      <c r="D2" s="173"/>
      <c r="E2" s="173"/>
      <c r="F2" s="173"/>
    </row>
    <row r="3" spans="1:9" ht="18.649999999999999" customHeight="1" x14ac:dyDescent="0.35">
      <c r="B3" s="133"/>
      <c r="C3" s="50"/>
      <c r="D3" s="62"/>
      <c r="E3" s="62"/>
      <c r="F3" s="62"/>
    </row>
    <row r="4" spans="1:9" ht="18.649999999999999" customHeight="1" x14ac:dyDescent="0.35">
      <c r="A4" s="181" t="s">
        <v>375</v>
      </c>
      <c r="B4" s="181"/>
      <c r="C4" s="181"/>
      <c r="D4" s="181"/>
      <c r="E4" s="181"/>
      <c r="F4" s="181"/>
      <c r="G4" s="181"/>
      <c r="H4" s="181"/>
      <c r="I4" s="127"/>
    </row>
    <row r="5" spans="1:9" ht="33.65" customHeight="1" x14ac:dyDescent="0.35">
      <c r="A5" s="185" t="s">
        <v>376</v>
      </c>
      <c r="B5" s="186"/>
      <c r="C5" s="186"/>
      <c r="D5" s="186"/>
      <c r="E5" s="186"/>
      <c r="F5" s="186"/>
      <c r="G5" s="186"/>
      <c r="H5" s="186"/>
    </row>
    <row r="6" spans="1:9" ht="31" x14ac:dyDescent="0.35">
      <c r="A6" s="28" t="s">
        <v>293</v>
      </c>
      <c r="B6" s="41" t="s">
        <v>230</v>
      </c>
      <c r="C6" s="41" t="s">
        <v>294</v>
      </c>
      <c r="D6" s="130" t="s">
        <v>295</v>
      </c>
      <c r="E6" s="130" t="s">
        <v>296</v>
      </c>
      <c r="F6" s="130" t="s">
        <v>234</v>
      </c>
      <c r="G6" s="46" t="s">
        <v>297</v>
      </c>
      <c r="H6" s="46" t="s">
        <v>298</v>
      </c>
      <c r="I6" s="129" t="s">
        <v>167</v>
      </c>
    </row>
    <row r="7" spans="1:9" s="35" customFormat="1" ht="58" x14ac:dyDescent="0.35">
      <c r="A7" s="6" t="s">
        <v>377</v>
      </c>
      <c r="B7" s="8" t="s">
        <v>378</v>
      </c>
      <c r="C7" s="8" t="s">
        <v>379</v>
      </c>
      <c r="D7" s="6" t="s">
        <v>235</v>
      </c>
      <c r="E7" s="6" t="s">
        <v>380</v>
      </c>
      <c r="F7" s="6" t="s">
        <v>381</v>
      </c>
      <c r="G7" s="8" t="s">
        <v>382</v>
      </c>
      <c r="H7" s="8" t="s">
        <v>308</v>
      </c>
      <c r="I7" s="74" t="s">
        <v>383</v>
      </c>
    </row>
    <row r="8" spans="1:9" s="35" customFormat="1" x14ac:dyDescent="0.35">
      <c r="A8" s="6" t="s">
        <v>384</v>
      </c>
      <c r="B8" s="8" t="s">
        <v>385</v>
      </c>
      <c r="C8" s="8" t="s">
        <v>386</v>
      </c>
      <c r="D8" s="6" t="s">
        <v>235</v>
      </c>
      <c r="E8" s="6" t="s">
        <v>380</v>
      </c>
      <c r="F8" s="6" t="s">
        <v>387</v>
      </c>
      <c r="G8" s="6" t="s">
        <v>312</v>
      </c>
      <c r="H8" s="6" t="s">
        <v>302</v>
      </c>
      <c r="I8" s="33"/>
    </row>
    <row r="9" spans="1:9" s="35" customFormat="1" ht="43.5" x14ac:dyDescent="0.35">
      <c r="A9" s="6" t="s">
        <v>388</v>
      </c>
      <c r="B9" s="131" t="s">
        <v>238</v>
      </c>
      <c r="C9" s="8" t="s">
        <v>389</v>
      </c>
      <c r="D9" s="6" t="s">
        <v>235</v>
      </c>
      <c r="E9" s="6" t="s">
        <v>390</v>
      </c>
      <c r="F9" s="6" t="s">
        <v>391</v>
      </c>
      <c r="G9" s="8" t="s">
        <v>392</v>
      </c>
      <c r="H9" s="8" t="s">
        <v>308</v>
      </c>
      <c r="I9" s="33"/>
    </row>
    <row r="10" spans="1:9" s="35" customFormat="1" ht="58" x14ac:dyDescent="0.35">
      <c r="A10" s="6" t="s">
        <v>393</v>
      </c>
      <c r="B10" s="131" t="s">
        <v>183</v>
      </c>
      <c r="C10" s="8" t="s">
        <v>394</v>
      </c>
      <c r="D10" s="6"/>
      <c r="E10" s="6" t="s">
        <v>380</v>
      </c>
      <c r="F10" s="6" t="s">
        <v>395</v>
      </c>
      <c r="G10" s="6" t="s">
        <v>312</v>
      </c>
      <c r="H10" s="6" t="s">
        <v>302</v>
      </c>
      <c r="I10" s="33"/>
    </row>
    <row r="11" spans="1:9" s="35" customFormat="1" ht="29" x14ac:dyDescent="0.35">
      <c r="A11" s="6" t="s">
        <v>396</v>
      </c>
      <c r="B11" s="131" t="s">
        <v>397</v>
      </c>
      <c r="C11" s="6" t="s">
        <v>398</v>
      </c>
      <c r="D11" s="6" t="s">
        <v>235</v>
      </c>
      <c r="E11" s="6" t="s">
        <v>235</v>
      </c>
      <c r="F11" s="6" t="s">
        <v>235</v>
      </c>
      <c r="G11" s="6" t="s">
        <v>312</v>
      </c>
      <c r="H11" s="6" t="s">
        <v>302</v>
      </c>
      <c r="I11" s="33"/>
    </row>
    <row r="12" spans="1:9" s="35" customFormat="1" ht="145" x14ac:dyDescent="0.35">
      <c r="A12" s="6" t="s">
        <v>399</v>
      </c>
      <c r="B12" s="131" t="s">
        <v>400</v>
      </c>
      <c r="C12" s="8" t="s">
        <v>401</v>
      </c>
      <c r="D12" s="6" t="s">
        <v>235</v>
      </c>
      <c r="E12" s="6" t="s">
        <v>380</v>
      </c>
      <c r="F12" s="6" t="s">
        <v>402</v>
      </c>
      <c r="G12" s="6" t="s">
        <v>312</v>
      </c>
      <c r="H12" s="6" t="s">
        <v>302</v>
      </c>
      <c r="I12" s="33"/>
    </row>
    <row r="13" spans="1:9" s="35" customFormat="1" x14ac:dyDescent="0.35">
      <c r="A13" s="6" t="s">
        <v>403</v>
      </c>
      <c r="B13" s="131" t="s">
        <v>404</v>
      </c>
      <c r="C13" s="8"/>
      <c r="D13" s="6" t="s">
        <v>235</v>
      </c>
      <c r="E13" s="6" t="s">
        <v>380</v>
      </c>
      <c r="F13" s="6" t="s">
        <v>405</v>
      </c>
      <c r="G13" s="6" t="s">
        <v>312</v>
      </c>
      <c r="H13" s="6" t="s">
        <v>302</v>
      </c>
      <c r="I13" s="33"/>
    </row>
    <row r="14" spans="1:9" s="35" customFormat="1" ht="29" x14ac:dyDescent="0.35">
      <c r="A14" s="6" t="s">
        <v>406</v>
      </c>
      <c r="B14" s="131" t="s">
        <v>407</v>
      </c>
      <c r="C14" s="8"/>
      <c r="D14" s="6" t="s">
        <v>235</v>
      </c>
      <c r="E14" s="6" t="s">
        <v>380</v>
      </c>
      <c r="F14" s="6" t="s">
        <v>408</v>
      </c>
      <c r="G14" s="6" t="s">
        <v>312</v>
      </c>
      <c r="H14" s="6" t="s">
        <v>302</v>
      </c>
      <c r="I14" s="33"/>
    </row>
    <row r="15" spans="1:9" s="35" customFormat="1" x14ac:dyDescent="0.35">
      <c r="A15" s="6" t="s">
        <v>409</v>
      </c>
      <c r="B15" s="131" t="s">
        <v>184</v>
      </c>
      <c r="C15" s="8"/>
      <c r="D15" s="6" t="s">
        <v>235</v>
      </c>
      <c r="E15" s="6" t="s">
        <v>380</v>
      </c>
      <c r="F15" s="128" t="s">
        <v>410</v>
      </c>
      <c r="G15" s="6" t="s">
        <v>312</v>
      </c>
      <c r="H15" s="6" t="s">
        <v>302</v>
      </c>
      <c r="I15" s="33"/>
    </row>
    <row r="16" spans="1:9" s="35" customFormat="1" x14ac:dyDescent="0.35">
      <c r="A16" s="6" t="s">
        <v>411</v>
      </c>
      <c r="B16" s="131" t="s">
        <v>412</v>
      </c>
      <c r="C16" s="8"/>
      <c r="D16" s="6" t="s">
        <v>235</v>
      </c>
      <c r="E16" s="6" t="s">
        <v>380</v>
      </c>
      <c r="F16" s="128" t="s">
        <v>413</v>
      </c>
      <c r="G16" s="6" t="s">
        <v>312</v>
      </c>
      <c r="H16" s="6" t="s">
        <v>302</v>
      </c>
      <c r="I16" s="33"/>
    </row>
    <row r="17" spans="1:9" s="35" customFormat="1" x14ac:dyDescent="0.35">
      <c r="A17" s="6" t="s">
        <v>414</v>
      </c>
      <c r="B17" s="8" t="s">
        <v>415</v>
      </c>
      <c r="C17" s="8"/>
      <c r="D17" s="6" t="s">
        <v>235</v>
      </c>
      <c r="E17" s="6" t="s">
        <v>380</v>
      </c>
      <c r="F17" s="6" t="s">
        <v>416</v>
      </c>
      <c r="G17" s="6" t="s">
        <v>312</v>
      </c>
      <c r="H17" s="6" t="s">
        <v>302</v>
      </c>
      <c r="I17" s="33"/>
    </row>
    <row r="18" spans="1:9" s="35" customFormat="1" ht="29" x14ac:dyDescent="0.35">
      <c r="A18" s="6" t="s">
        <v>417</v>
      </c>
      <c r="B18" s="8" t="s">
        <v>418</v>
      </c>
      <c r="C18" s="8"/>
      <c r="D18" s="6" t="s">
        <v>235</v>
      </c>
      <c r="E18" s="6" t="s">
        <v>380</v>
      </c>
      <c r="F18" s="6" t="s">
        <v>419</v>
      </c>
      <c r="G18" s="6" t="s">
        <v>312</v>
      </c>
      <c r="H18" s="6" t="s">
        <v>302</v>
      </c>
      <c r="I18" s="33"/>
    </row>
    <row r="19" spans="1:9" s="35" customFormat="1" x14ac:dyDescent="0.35">
      <c r="A19" s="6" t="s">
        <v>420</v>
      </c>
      <c r="B19" s="8" t="s">
        <v>185</v>
      </c>
      <c r="C19" s="8"/>
      <c r="D19" s="6" t="s">
        <v>235</v>
      </c>
      <c r="E19" s="6" t="s">
        <v>380</v>
      </c>
      <c r="F19" s="6" t="s">
        <v>421</v>
      </c>
      <c r="G19" s="6" t="s">
        <v>312</v>
      </c>
      <c r="H19" s="6" t="s">
        <v>302</v>
      </c>
      <c r="I19" s="33"/>
    </row>
    <row r="20" spans="1:9" s="35" customFormat="1" x14ac:dyDescent="0.35">
      <c r="A20" s="6" t="s">
        <v>422</v>
      </c>
      <c r="B20" s="8" t="s">
        <v>423</v>
      </c>
      <c r="C20" s="8"/>
      <c r="D20" s="6" t="s">
        <v>235</v>
      </c>
      <c r="E20" s="6" t="s">
        <v>380</v>
      </c>
      <c r="F20" s="6" t="s">
        <v>424</v>
      </c>
      <c r="G20" s="6" t="s">
        <v>312</v>
      </c>
      <c r="H20" s="6" t="s">
        <v>302</v>
      </c>
      <c r="I20" s="33"/>
    </row>
    <row r="21" spans="1:9" s="35" customFormat="1" x14ac:dyDescent="0.35">
      <c r="A21" s="6" t="s">
        <v>425</v>
      </c>
      <c r="B21" s="8" t="s">
        <v>76</v>
      </c>
      <c r="C21" s="8"/>
      <c r="D21" s="6" t="s">
        <v>235</v>
      </c>
      <c r="E21" s="6" t="s">
        <v>426</v>
      </c>
      <c r="F21" s="6" t="s">
        <v>427</v>
      </c>
      <c r="G21" s="6" t="s">
        <v>312</v>
      </c>
      <c r="H21" s="6" t="s">
        <v>302</v>
      </c>
      <c r="I21" s="33"/>
    </row>
    <row r="22" spans="1:9" s="35" customFormat="1" x14ac:dyDescent="0.35">
      <c r="A22" s="6" t="s">
        <v>428</v>
      </c>
      <c r="B22" s="8" t="s">
        <v>78</v>
      </c>
      <c r="C22" s="8"/>
      <c r="D22" s="6" t="s">
        <v>235</v>
      </c>
      <c r="E22" s="6" t="s">
        <v>429</v>
      </c>
      <c r="F22" s="6" t="s">
        <v>347</v>
      </c>
      <c r="G22" s="6" t="s">
        <v>312</v>
      </c>
      <c r="H22" s="6" t="s">
        <v>302</v>
      </c>
      <c r="I22" s="33"/>
    </row>
    <row r="23" spans="1:9" s="35" customFormat="1" x14ac:dyDescent="0.35">
      <c r="A23" s="6" t="s">
        <v>430</v>
      </c>
      <c r="B23" s="8" t="s">
        <v>186</v>
      </c>
      <c r="C23" s="8"/>
      <c r="D23" s="6" t="s">
        <v>235</v>
      </c>
      <c r="E23" s="6" t="s">
        <v>380</v>
      </c>
      <c r="F23" s="6" t="s">
        <v>431</v>
      </c>
      <c r="G23" s="6" t="s">
        <v>312</v>
      </c>
      <c r="H23" s="6" t="s">
        <v>302</v>
      </c>
      <c r="I23" s="33"/>
    </row>
    <row r="24" spans="1:9" s="35" customFormat="1" ht="29" x14ac:dyDescent="0.35">
      <c r="A24" s="6" t="s">
        <v>432</v>
      </c>
      <c r="B24" s="8" t="s">
        <v>433</v>
      </c>
      <c r="C24" s="8"/>
      <c r="D24" s="6" t="s">
        <v>235</v>
      </c>
      <c r="E24" s="6" t="s">
        <v>380</v>
      </c>
      <c r="F24" s="6" t="s">
        <v>434</v>
      </c>
      <c r="G24" s="6" t="s">
        <v>312</v>
      </c>
      <c r="H24" s="6" t="s">
        <v>302</v>
      </c>
      <c r="I24" s="33"/>
    </row>
    <row r="25" spans="1:9" s="35" customFormat="1" x14ac:dyDescent="0.35">
      <c r="A25" s="6" t="s">
        <v>435</v>
      </c>
      <c r="B25" s="8" t="s">
        <v>187</v>
      </c>
      <c r="C25" s="8"/>
      <c r="D25" s="6" t="s">
        <v>235</v>
      </c>
      <c r="E25" s="6" t="s">
        <v>380</v>
      </c>
      <c r="F25" s="6" t="s">
        <v>436</v>
      </c>
      <c r="G25" s="6" t="s">
        <v>312</v>
      </c>
      <c r="H25" s="6" t="s">
        <v>302</v>
      </c>
      <c r="I25" s="33"/>
    </row>
    <row r="26" spans="1:9" s="35" customFormat="1" x14ac:dyDescent="0.35">
      <c r="A26" s="6" t="s">
        <v>437</v>
      </c>
      <c r="B26" s="8" t="s">
        <v>438</v>
      </c>
      <c r="C26" s="8"/>
      <c r="D26" s="6" t="s">
        <v>235</v>
      </c>
      <c r="E26" s="6" t="s">
        <v>380</v>
      </c>
      <c r="F26" s="6" t="s">
        <v>439</v>
      </c>
      <c r="G26" s="6" t="s">
        <v>312</v>
      </c>
      <c r="H26" s="6" t="s">
        <v>302</v>
      </c>
      <c r="I26" s="33"/>
    </row>
    <row r="27" spans="1:9" s="35" customFormat="1" x14ac:dyDescent="0.35">
      <c r="A27" s="6" t="s">
        <v>440</v>
      </c>
      <c r="B27" s="8" t="s">
        <v>188</v>
      </c>
      <c r="C27" s="8"/>
      <c r="D27" s="6" t="s">
        <v>235</v>
      </c>
      <c r="E27" s="6" t="s">
        <v>380</v>
      </c>
      <c r="F27" s="6" t="s">
        <v>441</v>
      </c>
      <c r="G27" s="6" t="s">
        <v>312</v>
      </c>
      <c r="H27" s="6" t="s">
        <v>302</v>
      </c>
      <c r="I27" s="33"/>
    </row>
    <row r="28" spans="1:9" s="35" customFormat="1" x14ac:dyDescent="0.35">
      <c r="A28" s="6" t="s">
        <v>442</v>
      </c>
      <c r="B28" s="8" t="s">
        <v>443</v>
      </c>
      <c r="C28" s="8"/>
      <c r="D28" s="6" t="s">
        <v>235</v>
      </c>
      <c r="E28" s="6" t="s">
        <v>380</v>
      </c>
      <c r="F28" s="6" t="s">
        <v>444</v>
      </c>
      <c r="G28" s="6" t="s">
        <v>312</v>
      </c>
      <c r="H28" s="6" t="s">
        <v>302</v>
      </c>
      <c r="I28" s="33"/>
    </row>
    <row r="29" spans="1:9" s="35" customFormat="1" x14ac:dyDescent="0.35">
      <c r="A29" s="6" t="s">
        <v>445</v>
      </c>
      <c r="B29" s="8" t="s">
        <v>189</v>
      </c>
      <c r="C29" s="8"/>
      <c r="D29" s="6" t="s">
        <v>235</v>
      </c>
      <c r="E29" s="6" t="s">
        <v>380</v>
      </c>
      <c r="F29" s="6" t="s">
        <v>446</v>
      </c>
      <c r="G29" s="6" t="s">
        <v>312</v>
      </c>
      <c r="H29" s="6" t="s">
        <v>302</v>
      </c>
      <c r="I29" s="33"/>
    </row>
    <row r="30" spans="1:9" s="35" customFormat="1" x14ac:dyDescent="0.35">
      <c r="A30" s="6" t="s">
        <v>447</v>
      </c>
      <c r="B30" s="8" t="s">
        <v>448</v>
      </c>
      <c r="C30" s="8"/>
      <c r="D30" s="6" t="s">
        <v>235</v>
      </c>
      <c r="E30" s="6" t="s">
        <v>380</v>
      </c>
      <c r="F30" s="6" t="s">
        <v>449</v>
      </c>
      <c r="G30" s="6" t="s">
        <v>312</v>
      </c>
      <c r="H30" s="6" t="s">
        <v>302</v>
      </c>
      <c r="I30" s="33"/>
    </row>
    <row r="31" spans="1:9" s="35" customFormat="1" x14ac:dyDescent="0.35">
      <c r="A31" s="6" t="s">
        <v>450</v>
      </c>
      <c r="B31" s="8" t="s">
        <v>190</v>
      </c>
      <c r="C31" s="8"/>
      <c r="D31" s="6" t="s">
        <v>235</v>
      </c>
      <c r="E31" s="6" t="s">
        <v>380</v>
      </c>
      <c r="F31" s="6" t="s">
        <v>451</v>
      </c>
      <c r="G31" s="6" t="s">
        <v>312</v>
      </c>
      <c r="H31" s="6" t="s">
        <v>302</v>
      </c>
      <c r="I31" s="33"/>
    </row>
    <row r="32" spans="1:9" s="35" customFormat="1" x14ac:dyDescent="0.35">
      <c r="A32" s="6" t="s">
        <v>452</v>
      </c>
      <c r="B32" s="8" t="s">
        <v>453</v>
      </c>
      <c r="C32" s="8"/>
      <c r="D32" s="6" t="s">
        <v>235</v>
      </c>
      <c r="E32" s="6" t="s">
        <v>380</v>
      </c>
      <c r="F32" s="6" t="s">
        <v>454</v>
      </c>
      <c r="G32" s="6" t="s">
        <v>312</v>
      </c>
      <c r="H32" s="6" t="s">
        <v>302</v>
      </c>
      <c r="I32" s="33"/>
    </row>
    <row r="33" spans="1:9" s="35" customFormat="1" x14ac:dyDescent="0.35">
      <c r="A33" s="6" t="s">
        <v>455</v>
      </c>
      <c r="B33" s="8" t="s">
        <v>456</v>
      </c>
      <c r="C33" s="8"/>
      <c r="D33" s="6" t="s">
        <v>235</v>
      </c>
      <c r="E33" s="6" t="s">
        <v>380</v>
      </c>
      <c r="F33" s="6" t="s">
        <v>456</v>
      </c>
      <c r="G33" s="6" t="s">
        <v>312</v>
      </c>
      <c r="H33" s="6" t="s">
        <v>302</v>
      </c>
      <c r="I33" s="33"/>
    </row>
    <row r="34" spans="1:9" x14ac:dyDescent="0.35">
      <c r="C34" s="1"/>
    </row>
    <row r="35" spans="1:9" x14ac:dyDescent="0.35">
      <c r="B35" s="115"/>
      <c r="C35" s="1"/>
    </row>
    <row r="42" spans="1:9" x14ac:dyDescent="0.35">
      <c r="C42" s="3"/>
    </row>
  </sheetData>
  <customSheetViews>
    <customSheetView guid="{183AA635-FA98-4C70-9AA7-962C7F5F677C}" scale="90" hiddenColumns="1" topLeftCell="A3">
      <selection activeCell="M2" sqref="M2:P2"/>
      <pageMargins left="0" right="0" top="0" bottom="0" header="0" footer="0"/>
      <pageSetup orientation="portrait" r:id="rId1"/>
    </customSheetView>
  </customSheetViews>
  <mergeCells count="4">
    <mergeCell ref="A5:H5"/>
    <mergeCell ref="B2:C2"/>
    <mergeCell ref="D2:F2"/>
    <mergeCell ref="A4:H4"/>
  </mergeCells>
  <phoneticPr fontId="17" type="noConversion"/>
  <pageMargins left="0.7" right="0.7" top="0.75" bottom="0.75" header="0.3" footer="0.3"/>
  <pageSetup orientation="portrait" r:id="rId2"/>
  <headerFooter>
    <oddFooter>&amp;L_x000D_&amp;1#&amp;"Aptos"&amp;10&amp;K000000 Internal</oddFooter>
  </headerFooter>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tabColor rgb="FFFFFF00"/>
  </sheetPr>
  <dimension ref="A1:G9"/>
  <sheetViews>
    <sheetView zoomScale="58" zoomScaleNormal="60" workbookViewId="0">
      <pane xSplit="1" topLeftCell="B1" activePane="topRight" state="frozen"/>
      <selection pane="topRight" activeCell="A3" sqref="A3"/>
    </sheetView>
  </sheetViews>
  <sheetFormatPr defaultColWidth="8.81640625" defaultRowHeight="14.5" x14ac:dyDescent="0.35"/>
  <cols>
    <col min="1" max="1" width="17.81640625" style="35" bestFit="1" customWidth="1"/>
    <col min="2" max="2" width="68.81640625" style="35" customWidth="1"/>
    <col min="3" max="3" width="21.1796875" style="35" hidden="1" customWidth="1"/>
    <col min="4" max="4" width="21.453125" style="35" hidden="1" customWidth="1"/>
    <col min="5" max="5" width="17.453125" style="35" hidden="1" customWidth="1"/>
    <col min="6" max="6" width="25.81640625" style="35" bestFit="1" customWidth="1"/>
    <col min="7" max="7" width="8.54296875" style="35" bestFit="1" customWidth="1"/>
    <col min="8" max="16384" width="8.81640625" style="35"/>
  </cols>
  <sheetData>
    <row r="1" spans="1:7" ht="23.5" x14ac:dyDescent="0.35">
      <c r="A1" s="37"/>
    </row>
    <row r="2" spans="1:7" ht="41.15" customHeight="1" x14ac:dyDescent="0.35">
      <c r="A2" s="182" t="s">
        <v>457</v>
      </c>
      <c r="B2" s="182"/>
      <c r="C2" s="170"/>
      <c r="D2" s="170"/>
      <c r="E2" s="170"/>
    </row>
    <row r="3" spans="1:7" ht="41.15" customHeight="1" x14ac:dyDescent="0.35">
      <c r="A3" s="49"/>
      <c r="B3" s="49"/>
      <c r="C3" s="189"/>
      <c r="D3" s="190"/>
      <c r="E3" s="191"/>
      <c r="F3" s="101"/>
      <c r="G3"/>
    </row>
    <row r="4" spans="1:7" ht="15.5" x14ac:dyDescent="0.35">
      <c r="A4" s="34" t="s">
        <v>230</v>
      </c>
      <c r="B4" s="34" t="s">
        <v>294</v>
      </c>
      <c r="C4" s="65" t="s">
        <v>295</v>
      </c>
      <c r="D4" s="65" t="s">
        <v>296</v>
      </c>
      <c r="E4" s="65" t="s">
        <v>234</v>
      </c>
      <c r="F4" s="46" t="s">
        <v>297</v>
      </c>
      <c r="G4" s="102" t="s">
        <v>167</v>
      </c>
    </row>
    <row r="5" spans="1:7" x14ac:dyDescent="0.35">
      <c r="A5" s="6" t="s">
        <v>182</v>
      </c>
      <c r="B5" s="8" t="s">
        <v>458</v>
      </c>
      <c r="C5" s="66" t="s">
        <v>235</v>
      </c>
      <c r="D5" s="66" t="s">
        <v>459</v>
      </c>
      <c r="E5" s="67" t="s">
        <v>460</v>
      </c>
      <c r="F5" s="58" t="s">
        <v>461</v>
      </c>
      <c r="G5" s="58" t="s">
        <v>461</v>
      </c>
    </row>
    <row r="6" spans="1:7" ht="29" x14ac:dyDescent="0.35">
      <c r="A6" s="6" t="s">
        <v>12</v>
      </c>
      <c r="B6" s="8" t="s">
        <v>462</v>
      </c>
      <c r="C6" s="66" t="s">
        <v>235</v>
      </c>
      <c r="D6" s="66" t="s">
        <v>463</v>
      </c>
      <c r="E6" s="104" t="s">
        <v>464</v>
      </c>
      <c r="F6" s="58" t="s">
        <v>461</v>
      </c>
      <c r="G6" s="58" t="s">
        <v>461</v>
      </c>
    </row>
    <row r="7" spans="1:7" ht="29" x14ac:dyDescent="0.35">
      <c r="A7" s="6" t="s">
        <v>238</v>
      </c>
      <c r="B7" s="8" t="s">
        <v>305</v>
      </c>
      <c r="C7" s="66" t="s">
        <v>235</v>
      </c>
      <c r="D7" s="66" t="s">
        <v>463</v>
      </c>
      <c r="E7" s="104" t="s">
        <v>465</v>
      </c>
      <c r="F7" s="58" t="s">
        <v>461</v>
      </c>
      <c r="G7" s="58" t="s">
        <v>461</v>
      </c>
    </row>
    <row r="8" spans="1:7" ht="101.5" x14ac:dyDescent="0.35">
      <c r="A8" s="8" t="s">
        <v>466</v>
      </c>
      <c r="B8" s="8" t="s">
        <v>467</v>
      </c>
      <c r="C8" s="66" t="s">
        <v>235</v>
      </c>
      <c r="D8" s="66" t="s">
        <v>82</v>
      </c>
      <c r="E8" s="66" t="s">
        <v>468</v>
      </c>
      <c r="F8" s="58" t="s">
        <v>461</v>
      </c>
      <c r="G8" s="58" t="s">
        <v>461</v>
      </c>
    </row>
    <row r="9" spans="1:7" ht="87" x14ac:dyDescent="0.35">
      <c r="A9" s="6" t="s">
        <v>26</v>
      </c>
      <c r="B9" s="8" t="s">
        <v>469</v>
      </c>
      <c r="C9" s="66"/>
      <c r="D9" s="66" t="s">
        <v>82</v>
      </c>
      <c r="E9" s="66" t="s">
        <v>274</v>
      </c>
      <c r="F9" s="58" t="s">
        <v>461</v>
      </c>
      <c r="G9" s="58" t="s">
        <v>461</v>
      </c>
    </row>
  </sheetData>
  <autoFilter ref="A4:B9" xr:uid="{00000000-0001-0000-0D00-000000000000}"/>
  <customSheetViews>
    <customSheetView guid="{183AA635-FA98-4C70-9AA7-962C7F5F677C}" hiddenColumns="1" topLeftCell="A2">
      <selection activeCell="N2" sqref="N2:Q2"/>
      <pageMargins left="0" right="0" top="0" bottom="0" header="0" footer="0"/>
      <pageSetup orientation="portrait" r:id="rId1"/>
    </customSheetView>
  </customSheetViews>
  <mergeCells count="3">
    <mergeCell ref="A2:B2"/>
    <mergeCell ref="C2:E2"/>
    <mergeCell ref="C3:E3"/>
  </mergeCells>
  <pageMargins left="0.7" right="0.7" top="0.75" bottom="0.75" header="0.3" footer="0.3"/>
  <pageSetup orientation="portrait" r:id="rId2"/>
  <headerFooter>
    <oddFooter>&amp;L_x000D_&amp;1#&amp;"Aptos"&amp;10&amp;K000000 Internal</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19">
    <tabColor rgb="FFFFFF00"/>
  </sheetPr>
  <dimension ref="A1:AF14"/>
  <sheetViews>
    <sheetView zoomScale="70" zoomScaleNormal="70" workbookViewId="0">
      <pane xSplit="2" topLeftCell="C1" activePane="topRight" state="frozen"/>
      <selection pane="topRight" activeCell="G10" sqref="G10"/>
    </sheetView>
  </sheetViews>
  <sheetFormatPr defaultColWidth="9.1796875" defaultRowHeight="14.5" x14ac:dyDescent="0.35"/>
  <cols>
    <col min="2" max="2" width="18.1796875" bestFit="1" customWidth="1"/>
    <col min="3" max="3" width="21.26953125" customWidth="1"/>
    <col min="4" max="4" width="24.453125" hidden="1" customWidth="1"/>
    <col min="5" max="5" width="24.54296875" hidden="1" customWidth="1"/>
    <col min="6" max="6" width="21.453125" hidden="1" customWidth="1"/>
    <col min="7" max="7" width="30.453125" style="114" customWidth="1"/>
    <col min="8" max="8" width="17.1796875" style="114" customWidth="1"/>
    <col min="10" max="10" width="63.81640625" bestFit="1" customWidth="1"/>
  </cols>
  <sheetData>
    <row r="1" spans="1:32" ht="23.5" x14ac:dyDescent="0.55000000000000004">
      <c r="B1" s="30"/>
    </row>
    <row r="2" spans="1:32" x14ac:dyDescent="0.35">
      <c r="B2" s="182" t="s">
        <v>470</v>
      </c>
      <c r="C2" s="182"/>
      <c r="D2" s="173"/>
      <c r="E2" s="173"/>
      <c r="F2" s="173"/>
    </row>
    <row r="3" spans="1:32" x14ac:dyDescent="0.35">
      <c r="B3" s="49"/>
      <c r="C3" s="49"/>
      <c r="D3" s="108"/>
      <c r="E3" s="109"/>
      <c r="F3" s="110"/>
    </row>
    <row r="4" spans="1:32" x14ac:dyDescent="0.35">
      <c r="B4" s="126"/>
      <c r="C4" s="126"/>
      <c r="D4" s="134"/>
      <c r="E4" s="135"/>
      <c r="F4" s="136"/>
    </row>
    <row r="5" spans="1:32" x14ac:dyDescent="0.35">
      <c r="A5" s="181" t="s">
        <v>471</v>
      </c>
      <c r="B5" s="181"/>
      <c r="C5" s="181"/>
      <c r="D5" s="181"/>
      <c r="E5" s="181"/>
      <c r="F5" s="181"/>
      <c r="G5" s="181"/>
      <c r="H5" s="181"/>
    </row>
    <row r="6" spans="1:32" ht="41.5" customHeight="1" x14ac:dyDescent="0.35">
      <c r="A6" s="186" t="s">
        <v>472</v>
      </c>
      <c r="B6" s="186"/>
      <c r="C6" s="186"/>
      <c r="D6" s="186"/>
      <c r="E6" s="186"/>
      <c r="F6" s="186"/>
      <c r="G6" s="186"/>
      <c r="H6" s="186"/>
      <c r="AA6" t="s">
        <v>473</v>
      </c>
      <c r="AB6" s="192" t="s">
        <v>474</v>
      </c>
      <c r="AC6" s="192"/>
      <c r="AD6" s="192"/>
      <c r="AE6" s="192"/>
      <c r="AF6" s="192"/>
    </row>
    <row r="7" spans="1:32" s="64" customFormat="1" ht="29.5" customHeight="1" x14ac:dyDescent="0.3">
      <c r="A7" s="28" t="s">
        <v>293</v>
      </c>
      <c r="B7" s="137" t="s">
        <v>230</v>
      </c>
      <c r="C7" s="137" t="s">
        <v>294</v>
      </c>
      <c r="D7" s="68" t="s">
        <v>295</v>
      </c>
      <c r="E7" s="68" t="s">
        <v>296</v>
      </c>
      <c r="F7" s="68" t="s">
        <v>234</v>
      </c>
      <c r="G7" s="46" t="s">
        <v>297</v>
      </c>
      <c r="H7" s="46" t="s">
        <v>298</v>
      </c>
      <c r="I7" s="55" t="s">
        <v>167</v>
      </c>
      <c r="Y7" s="111" t="s">
        <v>475</v>
      </c>
      <c r="Z7" s="111" t="s">
        <v>476</v>
      </c>
      <c r="AA7" s="64" t="s">
        <v>477</v>
      </c>
      <c r="AB7" s="64" t="s">
        <v>478</v>
      </c>
      <c r="AC7" s="64" t="s">
        <v>479</v>
      </c>
      <c r="AD7" s="64" t="s">
        <v>480</v>
      </c>
    </row>
    <row r="8" spans="1:32" ht="43.5" x14ac:dyDescent="0.35">
      <c r="A8" s="6" t="s">
        <v>481</v>
      </c>
      <c r="B8" s="120" t="s">
        <v>174</v>
      </c>
      <c r="C8" s="6" t="s">
        <v>482</v>
      </c>
      <c r="D8" s="6" t="s">
        <v>235</v>
      </c>
      <c r="E8" s="6" t="s">
        <v>483</v>
      </c>
      <c r="F8" s="6" t="s">
        <v>276</v>
      </c>
      <c r="G8" s="24" t="s">
        <v>484</v>
      </c>
      <c r="H8" s="24" t="s">
        <v>308</v>
      </c>
      <c r="I8" s="3"/>
    </row>
    <row r="9" spans="1:32" ht="29" x14ac:dyDescent="0.35">
      <c r="A9" s="6" t="s">
        <v>485</v>
      </c>
      <c r="B9" s="6" t="s">
        <v>238</v>
      </c>
      <c r="C9" s="6" t="s">
        <v>486</v>
      </c>
      <c r="D9" s="6" t="s">
        <v>235</v>
      </c>
      <c r="E9" s="6" t="s">
        <v>487</v>
      </c>
      <c r="F9" s="6" t="s">
        <v>43</v>
      </c>
      <c r="G9" s="24" t="s">
        <v>488</v>
      </c>
      <c r="H9" s="24" t="s">
        <v>308</v>
      </c>
      <c r="I9" s="3"/>
    </row>
    <row r="10" spans="1:32" ht="43.5" x14ac:dyDescent="0.35">
      <c r="A10" s="6" t="s">
        <v>489</v>
      </c>
      <c r="B10" s="120" t="s">
        <v>254</v>
      </c>
      <c r="C10" s="8" t="s">
        <v>490</v>
      </c>
      <c r="D10" s="6" t="s">
        <v>235</v>
      </c>
      <c r="E10" s="6" t="s">
        <v>82</v>
      </c>
      <c r="F10" s="6" t="s">
        <v>256</v>
      </c>
      <c r="G10" s="24" t="s">
        <v>491</v>
      </c>
      <c r="H10" s="24" t="s">
        <v>308</v>
      </c>
      <c r="I10" s="3"/>
      <c r="J10" s="115" t="s">
        <v>492</v>
      </c>
    </row>
    <row r="11" spans="1:32" ht="72.5" x14ac:dyDescent="0.35">
      <c r="A11" s="6" t="s">
        <v>493</v>
      </c>
      <c r="B11" s="6" t="s">
        <v>494</v>
      </c>
      <c r="C11" s="8" t="s">
        <v>495</v>
      </c>
      <c r="D11" s="6" t="s">
        <v>235</v>
      </c>
      <c r="E11" s="6" t="s">
        <v>483</v>
      </c>
      <c r="F11" s="8" t="s">
        <v>496</v>
      </c>
      <c r="G11" s="6" t="s">
        <v>312</v>
      </c>
      <c r="H11" s="6" t="s">
        <v>302</v>
      </c>
      <c r="I11" s="3"/>
    </row>
    <row r="12" spans="1:32" x14ac:dyDescent="0.35">
      <c r="C12" s="1"/>
    </row>
    <row r="13" spans="1:32" x14ac:dyDescent="0.35">
      <c r="C13" s="1"/>
    </row>
    <row r="14" spans="1:32" x14ac:dyDescent="0.35">
      <c r="C14" s="1"/>
    </row>
  </sheetData>
  <mergeCells count="5">
    <mergeCell ref="B2:C2"/>
    <mergeCell ref="D2:F2"/>
    <mergeCell ref="AB6:AF6"/>
    <mergeCell ref="A5:H5"/>
    <mergeCell ref="A6:H6"/>
  </mergeCells>
  <phoneticPr fontId="17" type="noConversion"/>
  <pageMargins left="0.7" right="0.7" top="0.75" bottom="0.75" header="0.3" footer="0.3"/>
  <pageSetup orientation="portrait" r:id="rId1"/>
  <headerFooter>
    <oddFooter>&amp;L_x000D_&amp;1#&amp;"Aptos"&amp;10&amp;K000000 Internal</oddFooter>
  </headerFooter>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29">
    <tabColor rgb="FFFFFF00"/>
  </sheetPr>
  <dimension ref="A1:I23"/>
  <sheetViews>
    <sheetView zoomScale="78" zoomScaleNormal="78" workbookViewId="0">
      <selection activeCell="K4" sqref="K4"/>
    </sheetView>
  </sheetViews>
  <sheetFormatPr defaultColWidth="9.1796875" defaultRowHeight="14.5" x14ac:dyDescent="0.35"/>
  <cols>
    <col min="1" max="1" width="9.1796875" style="35"/>
    <col min="2" max="2" width="19.453125" style="35" customWidth="1"/>
    <col min="3" max="3" width="55.1796875" style="35" customWidth="1"/>
    <col min="4" max="4" width="29.453125" style="35" hidden="1" customWidth="1"/>
    <col min="5" max="5" width="25.81640625" style="35" hidden="1" customWidth="1"/>
    <col min="6" max="6" width="41.1796875" style="35" hidden="1" customWidth="1"/>
    <col min="7" max="7" width="35.54296875" style="69" bestFit="1" customWidth="1"/>
    <col min="8" max="8" width="17.81640625" style="70" customWidth="1"/>
    <col min="9" max="9" width="23" style="35" customWidth="1"/>
    <col min="10" max="16384" width="9.1796875" style="35"/>
  </cols>
  <sheetData>
    <row r="1" spans="1:9" ht="23.5" x14ac:dyDescent="0.35">
      <c r="B1" s="37" t="s">
        <v>227</v>
      </c>
    </row>
    <row r="2" spans="1:9" ht="26.15" customHeight="1" x14ac:dyDescent="0.35">
      <c r="B2" s="193" t="s">
        <v>497</v>
      </c>
      <c r="C2" s="194"/>
      <c r="D2" s="170"/>
      <c r="E2" s="170"/>
      <c r="F2" s="170"/>
    </row>
    <row r="3" spans="1:9" ht="26.15" customHeight="1" x14ac:dyDescent="0.35">
      <c r="B3" s="51"/>
      <c r="C3" s="52"/>
      <c r="D3" s="138"/>
      <c r="E3" s="139"/>
      <c r="F3" s="139"/>
    </row>
    <row r="4" spans="1:9" ht="26.15" customHeight="1" x14ac:dyDescent="0.35">
      <c r="B4" s="140"/>
      <c r="C4" s="141"/>
      <c r="D4" s="142"/>
      <c r="E4" s="143"/>
      <c r="F4" s="143"/>
    </row>
    <row r="5" spans="1:9" ht="26.15" customHeight="1" x14ac:dyDescent="0.35">
      <c r="A5" s="181" t="s">
        <v>498</v>
      </c>
      <c r="B5" s="181"/>
      <c r="C5" s="181"/>
      <c r="D5" s="181"/>
      <c r="E5" s="181"/>
      <c r="F5" s="181"/>
      <c r="G5" s="181"/>
      <c r="H5" s="181"/>
    </row>
    <row r="6" spans="1:9" ht="32.5" customHeight="1" x14ac:dyDescent="0.35">
      <c r="A6" s="195" t="s">
        <v>499</v>
      </c>
      <c r="B6" s="195"/>
      <c r="C6" s="195"/>
      <c r="D6" s="195"/>
      <c r="E6" s="195"/>
      <c r="F6" s="195"/>
      <c r="G6" s="195"/>
      <c r="H6" s="195"/>
      <c r="I6"/>
    </row>
    <row r="7" spans="1:9" ht="31" x14ac:dyDescent="0.35">
      <c r="A7" s="28" t="s">
        <v>293</v>
      </c>
      <c r="B7" s="34" t="s">
        <v>230</v>
      </c>
      <c r="C7" s="34" t="s">
        <v>294</v>
      </c>
      <c r="D7" s="47" t="s">
        <v>295</v>
      </c>
      <c r="E7" s="47" t="s">
        <v>500</v>
      </c>
      <c r="F7" s="47" t="s">
        <v>234</v>
      </c>
      <c r="G7" s="55" t="s">
        <v>297</v>
      </c>
      <c r="H7" s="46" t="s">
        <v>298</v>
      </c>
      <c r="I7" s="55" t="s">
        <v>167</v>
      </c>
    </row>
    <row r="8" spans="1:9" ht="29" x14ac:dyDescent="0.35">
      <c r="A8" s="6" t="s">
        <v>501</v>
      </c>
      <c r="B8" s="6" t="s">
        <v>502</v>
      </c>
      <c r="C8" s="8" t="s">
        <v>503</v>
      </c>
      <c r="D8" s="6" t="s">
        <v>235</v>
      </c>
      <c r="E8" s="106" t="s">
        <v>463</v>
      </c>
      <c r="F8" s="106" t="s">
        <v>463</v>
      </c>
      <c r="G8" s="26" t="s">
        <v>312</v>
      </c>
      <c r="H8" s="3" t="s">
        <v>302</v>
      </c>
      <c r="I8" s="6"/>
    </row>
    <row r="9" spans="1:9" ht="43.5" x14ac:dyDescent="0.35">
      <c r="A9" s="6" t="s">
        <v>504</v>
      </c>
      <c r="B9" s="120" t="s">
        <v>505</v>
      </c>
      <c r="C9" s="8" t="s">
        <v>506</v>
      </c>
      <c r="D9" s="6" t="s">
        <v>235</v>
      </c>
      <c r="E9" s="106" t="s">
        <v>463</v>
      </c>
      <c r="F9" s="106" t="s">
        <v>459</v>
      </c>
      <c r="G9" s="26" t="s">
        <v>312</v>
      </c>
      <c r="H9" s="3" t="s">
        <v>302</v>
      </c>
      <c r="I9" s="6"/>
    </row>
    <row r="10" spans="1:9" ht="43.5" x14ac:dyDescent="0.35">
      <c r="A10" s="6" t="s">
        <v>507</v>
      </c>
      <c r="B10" s="120" t="s">
        <v>508</v>
      </c>
      <c r="C10" s="8" t="s">
        <v>506</v>
      </c>
      <c r="D10" s="6" t="s">
        <v>235</v>
      </c>
      <c r="E10" s="106" t="s">
        <v>463</v>
      </c>
      <c r="F10" s="106" t="s">
        <v>464</v>
      </c>
      <c r="G10" s="24" t="s">
        <v>509</v>
      </c>
      <c r="H10" s="24" t="s">
        <v>308</v>
      </c>
      <c r="I10" s="6"/>
    </row>
    <row r="11" spans="1:9" ht="43.5" x14ac:dyDescent="0.35">
      <c r="A11" s="6" t="s">
        <v>510</v>
      </c>
      <c r="B11" s="120" t="s">
        <v>511</v>
      </c>
      <c r="C11" s="8" t="s">
        <v>506</v>
      </c>
      <c r="D11" s="6"/>
      <c r="E11" s="106" t="s">
        <v>459</v>
      </c>
      <c r="F11" s="106" t="s">
        <v>512</v>
      </c>
      <c r="G11" s="26" t="s">
        <v>312</v>
      </c>
      <c r="H11" s="3" t="s">
        <v>302</v>
      </c>
      <c r="I11" s="6"/>
    </row>
    <row r="12" spans="1:9" ht="43.5" x14ac:dyDescent="0.35">
      <c r="A12" s="6" t="s">
        <v>513</v>
      </c>
      <c r="B12" s="120" t="s">
        <v>514</v>
      </c>
      <c r="C12" s="6" t="s">
        <v>515</v>
      </c>
      <c r="D12" s="6"/>
      <c r="E12" s="106" t="s">
        <v>459</v>
      </c>
      <c r="F12" s="106" t="s">
        <v>460</v>
      </c>
      <c r="G12" s="145" t="s">
        <v>516</v>
      </c>
      <c r="H12" s="24" t="s">
        <v>308</v>
      </c>
      <c r="I12" s="63"/>
    </row>
    <row r="13" spans="1:9" x14ac:dyDescent="0.35">
      <c r="A13" s="6" t="s">
        <v>517</v>
      </c>
      <c r="B13" s="6" t="s">
        <v>518</v>
      </c>
      <c r="C13" s="8" t="s">
        <v>519</v>
      </c>
      <c r="D13" s="6"/>
      <c r="E13" s="106" t="s">
        <v>520</v>
      </c>
      <c r="F13" s="106" t="s">
        <v>521</v>
      </c>
      <c r="G13" s="26" t="s">
        <v>312</v>
      </c>
      <c r="H13" s="3" t="s">
        <v>302</v>
      </c>
      <c r="I13" s="6"/>
    </row>
    <row r="14" spans="1:9" ht="145" x14ac:dyDescent="0.35">
      <c r="A14" s="6" t="s">
        <v>522</v>
      </c>
      <c r="B14" s="8" t="s">
        <v>26</v>
      </c>
      <c r="C14" s="8" t="s">
        <v>523</v>
      </c>
      <c r="D14" s="6"/>
      <c r="E14" s="106" t="s">
        <v>278</v>
      </c>
      <c r="F14" s="106" t="s">
        <v>278</v>
      </c>
      <c r="G14" s="144" t="s">
        <v>278</v>
      </c>
      <c r="H14" s="3" t="s">
        <v>302</v>
      </c>
      <c r="I14" s="6"/>
    </row>
    <row r="15" spans="1:9" x14ac:dyDescent="0.35">
      <c r="A15" s="6" t="s">
        <v>524</v>
      </c>
      <c r="B15" s="6" t="s">
        <v>58</v>
      </c>
      <c r="C15" s="6" t="s">
        <v>525</v>
      </c>
      <c r="D15" s="6"/>
      <c r="E15" s="106" t="s">
        <v>278</v>
      </c>
      <c r="F15" s="106" t="s">
        <v>278</v>
      </c>
      <c r="G15" s="144" t="s">
        <v>278</v>
      </c>
      <c r="H15" s="3" t="s">
        <v>302</v>
      </c>
      <c r="I15" s="6"/>
    </row>
    <row r="16" spans="1:9" ht="43.5" x14ac:dyDescent="0.35">
      <c r="A16" s="6" t="s">
        <v>526</v>
      </c>
      <c r="B16" s="120" t="s">
        <v>527</v>
      </c>
      <c r="C16" s="8" t="s">
        <v>528</v>
      </c>
      <c r="D16" s="6"/>
      <c r="E16" s="106" t="s">
        <v>463</v>
      </c>
      <c r="F16" s="16" t="s">
        <v>465</v>
      </c>
      <c r="G16" s="24" t="s">
        <v>529</v>
      </c>
      <c r="H16" s="24" t="s">
        <v>308</v>
      </c>
      <c r="I16" s="6"/>
    </row>
    <row r="17" spans="1:9" ht="29" x14ac:dyDescent="0.35">
      <c r="A17" s="6" t="s">
        <v>530</v>
      </c>
      <c r="B17" s="120" t="s">
        <v>531</v>
      </c>
      <c r="C17" s="8" t="s">
        <v>532</v>
      </c>
      <c r="D17" s="6"/>
      <c r="E17" s="106" t="s">
        <v>463</v>
      </c>
      <c r="F17" s="16" t="s">
        <v>464</v>
      </c>
      <c r="G17" s="24" t="s">
        <v>533</v>
      </c>
      <c r="H17" s="24" t="s">
        <v>308</v>
      </c>
      <c r="I17" s="6"/>
    </row>
    <row r="18" spans="1:9" ht="29" x14ac:dyDescent="0.35">
      <c r="A18" s="6" t="s">
        <v>534</v>
      </c>
      <c r="B18" s="6" t="s">
        <v>535</v>
      </c>
      <c r="C18" s="8" t="s">
        <v>536</v>
      </c>
      <c r="D18" s="6"/>
      <c r="E18" s="107" t="s">
        <v>520</v>
      </c>
      <c r="F18" s="16" t="s">
        <v>537</v>
      </c>
      <c r="G18" s="26" t="s">
        <v>312</v>
      </c>
      <c r="H18" s="3" t="s">
        <v>302</v>
      </c>
      <c r="I18" s="6"/>
    </row>
    <row r="19" spans="1:9" ht="43.5" x14ac:dyDescent="0.35">
      <c r="A19" s="6" t="s">
        <v>538</v>
      </c>
      <c r="B19" s="6" t="s">
        <v>59</v>
      </c>
      <c r="C19" s="8" t="s">
        <v>539</v>
      </c>
      <c r="D19" s="6"/>
      <c r="E19" s="106" t="s">
        <v>463</v>
      </c>
      <c r="F19" s="16" t="s">
        <v>540</v>
      </c>
      <c r="G19" s="26" t="s">
        <v>312</v>
      </c>
      <c r="H19" s="3" t="s">
        <v>302</v>
      </c>
      <c r="I19" s="6"/>
    </row>
    <row r="20" spans="1:9" ht="41.5" customHeight="1" x14ac:dyDescent="0.35">
      <c r="A20" s="6" t="s">
        <v>541</v>
      </c>
      <c r="B20" s="6" t="s">
        <v>542</v>
      </c>
      <c r="C20" s="8" t="s">
        <v>543</v>
      </c>
      <c r="D20" s="6"/>
      <c r="E20" s="106" t="s">
        <v>463</v>
      </c>
      <c r="F20" s="16" t="s">
        <v>544</v>
      </c>
      <c r="G20" s="26" t="s">
        <v>312</v>
      </c>
      <c r="H20" s="3" t="s">
        <v>302</v>
      </c>
      <c r="I20" s="6"/>
    </row>
    <row r="21" spans="1:9" ht="43.5" x14ac:dyDescent="0.35">
      <c r="A21" s="6" t="s">
        <v>545</v>
      </c>
      <c r="B21" s="120" t="s">
        <v>546</v>
      </c>
      <c r="C21" s="8" t="s">
        <v>547</v>
      </c>
      <c r="D21" s="6"/>
      <c r="E21" s="106" t="s">
        <v>278</v>
      </c>
      <c r="F21" s="106" t="s">
        <v>278</v>
      </c>
      <c r="G21" s="144" t="s">
        <v>278</v>
      </c>
      <c r="H21" s="3" t="s">
        <v>302</v>
      </c>
      <c r="I21" s="6"/>
    </row>
    <row r="22" spans="1:9" x14ac:dyDescent="0.3">
      <c r="F22" s="61"/>
    </row>
    <row r="23" spans="1:9" x14ac:dyDescent="0.3">
      <c r="B23" s="35" t="s">
        <v>548</v>
      </c>
      <c r="F23" s="61"/>
    </row>
  </sheetData>
  <customSheetViews>
    <customSheetView guid="{183AA635-FA98-4C70-9AA7-962C7F5F677C}" scale="90" filter="1" showAutoFilter="1" hiddenColumns="1">
      <selection activeCell="H4" sqref="H4:J11"/>
      <pageMargins left="0" right="0" top="0" bottom="0" header="0" footer="0"/>
      <pageSetup orientation="portrait" r:id="rId1"/>
      <autoFilter ref="A2:O16" xr:uid="{8095BEDC-A695-4DDC-A442-DFE8BA62A908}">
        <filterColumn colId="11">
          <filters>
            <filter val="No"/>
          </filters>
        </filterColumn>
      </autoFilter>
    </customSheetView>
  </customSheetViews>
  <mergeCells count="4">
    <mergeCell ref="B2:C2"/>
    <mergeCell ref="D2:F2"/>
    <mergeCell ref="A5:H5"/>
    <mergeCell ref="A6:H6"/>
  </mergeCells>
  <phoneticPr fontId="17" type="noConversion"/>
  <hyperlinks>
    <hyperlink ref="B1" location="'Summary '!A1" display="&lt;- Summary" xr:uid="{5D5438C3-57B5-41D5-B907-486A31EBFA58}"/>
  </hyperlinks>
  <pageMargins left="0.7" right="0.7" top="0.75" bottom="0.75" header="0.3" footer="0.3"/>
  <pageSetup orientation="portrait" r:id="rId2"/>
  <headerFooter>
    <oddFooter>&amp;L_x000D_&amp;1#&amp;"Aptos"&amp;10&amp;K000000 Internal</oddFooter>
  </headerFooter>
  <tableParts count="1">
    <tablePart r:id="rId3"/>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33">
    <tabColor rgb="FFFFFF00"/>
  </sheetPr>
  <dimension ref="A1:I14"/>
  <sheetViews>
    <sheetView topLeftCell="A10" zoomScale="70" zoomScaleNormal="70" workbookViewId="0">
      <selection activeCell="B15" sqref="B15"/>
    </sheetView>
  </sheetViews>
  <sheetFormatPr defaultColWidth="9.1796875" defaultRowHeight="14.5" x14ac:dyDescent="0.35"/>
  <cols>
    <col min="2" max="2" width="26.1796875" customWidth="1"/>
    <col min="3" max="3" width="31.1796875" customWidth="1"/>
    <col min="4" max="4" width="21.1796875" hidden="1" customWidth="1"/>
    <col min="5" max="5" width="24.1796875" hidden="1" customWidth="1"/>
    <col min="6" max="6" width="21.1796875" hidden="1" customWidth="1"/>
    <col min="7" max="7" width="35.26953125" style="114" customWidth="1"/>
    <col min="8" max="8" width="20.453125" style="114" customWidth="1"/>
    <col min="9" max="9" width="28.1796875" bestFit="1" customWidth="1"/>
  </cols>
  <sheetData>
    <row r="1" spans="1:9" ht="23.5" customHeight="1" x14ac:dyDescent="0.55000000000000004">
      <c r="B1" s="30" t="s">
        <v>227</v>
      </c>
    </row>
    <row r="2" spans="1:9" ht="39.65" customHeight="1" x14ac:dyDescent="0.35">
      <c r="B2" s="196" t="s">
        <v>549</v>
      </c>
      <c r="C2" s="197"/>
      <c r="D2" s="173"/>
      <c r="E2" s="173"/>
      <c r="F2" s="173"/>
    </row>
    <row r="3" spans="1:9" ht="39.65" customHeight="1" x14ac:dyDescent="0.35">
      <c r="B3" s="49"/>
      <c r="C3" s="49"/>
      <c r="D3" s="62"/>
      <c r="E3" s="62"/>
      <c r="F3" s="62"/>
    </row>
    <row r="4" spans="1:9" ht="39.65" customHeight="1" x14ac:dyDescent="0.35">
      <c r="B4" s="126"/>
      <c r="C4" s="126"/>
      <c r="D4" s="62"/>
      <c r="E4" s="62"/>
      <c r="F4" s="62"/>
    </row>
    <row r="5" spans="1:9" ht="39.65" customHeight="1" x14ac:dyDescent="0.35">
      <c r="A5" s="198" t="s">
        <v>550</v>
      </c>
      <c r="B5" s="199"/>
      <c r="C5" s="199"/>
      <c r="D5" s="199"/>
      <c r="E5" s="199"/>
      <c r="F5" s="199"/>
      <c r="G5" s="199"/>
      <c r="H5" s="200"/>
      <c r="I5" s="87"/>
    </row>
    <row r="6" spans="1:9" ht="39.65" customHeight="1" x14ac:dyDescent="0.35">
      <c r="A6" s="201" t="s">
        <v>551</v>
      </c>
      <c r="B6" s="202"/>
      <c r="C6" s="202"/>
      <c r="D6" s="202"/>
      <c r="E6" s="202"/>
      <c r="F6" s="202"/>
      <c r="G6" s="202"/>
      <c r="H6" s="203"/>
      <c r="I6" s="8"/>
    </row>
    <row r="7" spans="1:9" ht="41.15" customHeight="1" x14ac:dyDescent="0.35">
      <c r="A7" s="28" t="s">
        <v>293</v>
      </c>
      <c r="B7" s="146" t="s">
        <v>230</v>
      </c>
      <c r="C7" s="147" t="s">
        <v>294</v>
      </c>
      <c r="D7" s="148" t="s">
        <v>295</v>
      </c>
      <c r="E7" s="148" t="s">
        <v>296</v>
      </c>
      <c r="F7" s="148" t="s">
        <v>234</v>
      </c>
      <c r="G7" s="46" t="s">
        <v>297</v>
      </c>
      <c r="H7" s="46" t="s">
        <v>298</v>
      </c>
      <c r="I7" s="55" t="s">
        <v>167</v>
      </c>
    </row>
    <row r="8" spans="1:9" ht="43.5" x14ac:dyDescent="0.35">
      <c r="A8" s="6" t="s">
        <v>552</v>
      </c>
      <c r="B8" s="8" t="s">
        <v>553</v>
      </c>
      <c r="C8" s="8" t="s">
        <v>554</v>
      </c>
      <c r="D8" s="6" t="s">
        <v>235</v>
      </c>
      <c r="E8" s="106" t="s">
        <v>555</v>
      </c>
      <c r="F8" s="106" t="s">
        <v>556</v>
      </c>
      <c r="G8" s="24" t="s">
        <v>529</v>
      </c>
      <c r="H8" s="24" t="s">
        <v>308</v>
      </c>
      <c r="I8" s="6"/>
    </row>
    <row r="9" spans="1:9" ht="29" x14ac:dyDescent="0.35">
      <c r="A9" s="6" t="s">
        <v>557</v>
      </c>
      <c r="B9" s="8" t="s">
        <v>238</v>
      </c>
      <c r="C9" s="8" t="s">
        <v>558</v>
      </c>
      <c r="D9" s="6" t="s">
        <v>235</v>
      </c>
      <c r="E9" s="106" t="s">
        <v>555</v>
      </c>
      <c r="F9" s="106" t="s">
        <v>43</v>
      </c>
      <c r="G9" s="24" t="s">
        <v>533</v>
      </c>
      <c r="H9" s="24" t="s">
        <v>308</v>
      </c>
      <c r="I9" s="6"/>
    </row>
    <row r="10" spans="1:9" ht="43.5" x14ac:dyDescent="0.35">
      <c r="A10" s="6" t="s">
        <v>559</v>
      </c>
      <c r="B10" s="8" t="s">
        <v>182</v>
      </c>
      <c r="C10" s="8" t="s">
        <v>560</v>
      </c>
      <c r="D10" s="6" t="s">
        <v>235</v>
      </c>
      <c r="E10" s="106" t="s">
        <v>561</v>
      </c>
      <c r="F10" s="106" t="s">
        <v>562</v>
      </c>
      <c r="G10" s="56" t="s">
        <v>516</v>
      </c>
      <c r="H10" s="24" t="s">
        <v>308</v>
      </c>
      <c r="I10" s="6"/>
    </row>
    <row r="11" spans="1:9" ht="43.5" x14ac:dyDescent="0.35">
      <c r="A11" s="6" t="s">
        <v>563</v>
      </c>
      <c r="B11" s="122" t="s">
        <v>564</v>
      </c>
      <c r="C11" s="59" t="s">
        <v>565</v>
      </c>
      <c r="D11" s="6" t="s">
        <v>235</v>
      </c>
      <c r="E11" s="106" t="s">
        <v>561</v>
      </c>
      <c r="F11" s="106" t="s">
        <v>566</v>
      </c>
      <c r="G11" s="24" t="s">
        <v>567</v>
      </c>
      <c r="H11" s="24" t="s">
        <v>302</v>
      </c>
      <c r="I11" s="6"/>
    </row>
    <row r="14" spans="1:9" x14ac:dyDescent="0.35">
      <c r="B14" t="s">
        <v>568</v>
      </c>
    </row>
  </sheetData>
  <mergeCells count="4">
    <mergeCell ref="B2:C2"/>
    <mergeCell ref="D2:F2"/>
    <mergeCell ref="A5:H5"/>
    <mergeCell ref="A6:H6"/>
  </mergeCells>
  <phoneticPr fontId="17" type="noConversion"/>
  <hyperlinks>
    <hyperlink ref="B1" location="'Summary '!A1" display="&lt;- Summary" xr:uid="{F7262E11-1F57-4735-ADDA-133C4E7FF01C}"/>
  </hyperlinks>
  <pageMargins left="0.7" right="0.7" top="0.75" bottom="0.75" header="0.3" footer="0.3"/>
  <pageSetup orientation="portrait" r:id="rId1"/>
  <headerFooter>
    <oddFooter>&amp;L_x000D_&amp;1#&amp;"Aptos"&amp;10&amp;K000000 Internal</oddFooter>
  </headerFooter>
  <drawing r:id="rId2"/>
  <tableParts count="1">
    <tablePart r:id="rId3"/>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A01D36-FEB5-4992-AEFE-A0685DD27152}">
  <sheetPr>
    <tabColor rgb="FFFFFF00"/>
  </sheetPr>
  <dimension ref="A1:I11"/>
  <sheetViews>
    <sheetView topLeftCell="A7" zoomScale="70" zoomScaleNormal="70" workbookViewId="0">
      <selection activeCell="A5" sqref="A5:H5"/>
    </sheetView>
  </sheetViews>
  <sheetFormatPr defaultColWidth="9.1796875" defaultRowHeight="14.5" x14ac:dyDescent="0.35"/>
  <cols>
    <col min="1" max="1" width="10.453125" bestFit="1" customWidth="1"/>
    <col min="2" max="2" width="26.1796875" customWidth="1"/>
    <col min="3" max="3" width="31.1796875" customWidth="1"/>
    <col min="4" max="4" width="21.1796875" hidden="1" customWidth="1"/>
    <col min="5" max="5" width="24.1796875" hidden="1" customWidth="1"/>
    <col min="6" max="6" width="21.1796875" hidden="1" customWidth="1"/>
    <col min="7" max="7" width="31.1796875" customWidth="1"/>
    <col min="8" max="8" width="16.81640625" customWidth="1"/>
  </cols>
  <sheetData>
    <row r="1" spans="1:9" ht="23.5" customHeight="1" x14ac:dyDescent="0.55000000000000004">
      <c r="B1" s="30" t="s">
        <v>227</v>
      </c>
    </row>
    <row r="2" spans="1:9" ht="39.65" customHeight="1" x14ac:dyDescent="0.35">
      <c r="B2" s="196" t="s">
        <v>549</v>
      </c>
      <c r="C2" s="197"/>
      <c r="D2" s="173"/>
      <c r="E2" s="173"/>
      <c r="F2" s="173"/>
    </row>
    <row r="3" spans="1:9" ht="39.65" customHeight="1" x14ac:dyDescent="0.35">
      <c r="B3" s="49"/>
      <c r="C3" s="49"/>
      <c r="D3" s="62"/>
      <c r="E3" s="62"/>
      <c r="F3" s="62"/>
    </row>
    <row r="4" spans="1:9" ht="39.65" customHeight="1" x14ac:dyDescent="0.35">
      <c r="B4" s="126"/>
      <c r="C4" s="126"/>
      <c r="D4" s="62"/>
      <c r="E4" s="62"/>
      <c r="F4" s="62"/>
    </row>
    <row r="5" spans="1:9" ht="39.65" customHeight="1" x14ac:dyDescent="0.35">
      <c r="A5" s="198" t="s">
        <v>569</v>
      </c>
      <c r="B5" s="199"/>
      <c r="C5" s="199"/>
      <c r="D5" s="199"/>
      <c r="E5" s="199"/>
      <c r="F5" s="199"/>
      <c r="G5" s="199"/>
      <c r="H5" s="200"/>
    </row>
    <row r="6" spans="1:9" ht="39.65" customHeight="1" x14ac:dyDescent="0.35">
      <c r="A6" s="186" t="s">
        <v>570</v>
      </c>
      <c r="B6" s="186"/>
      <c r="C6" s="186"/>
      <c r="D6" s="186"/>
      <c r="E6" s="186"/>
      <c r="F6" s="186"/>
      <c r="G6" s="186"/>
      <c r="H6" s="186"/>
    </row>
    <row r="7" spans="1:9" ht="41.15" customHeight="1" x14ac:dyDescent="0.35">
      <c r="A7" s="28" t="s">
        <v>293</v>
      </c>
      <c r="B7" s="146" t="s">
        <v>230</v>
      </c>
      <c r="C7" s="147" t="s">
        <v>294</v>
      </c>
      <c r="D7" s="148" t="s">
        <v>295</v>
      </c>
      <c r="E7" s="148" t="s">
        <v>296</v>
      </c>
      <c r="F7" s="148" t="s">
        <v>234</v>
      </c>
      <c r="G7" s="46" t="s">
        <v>297</v>
      </c>
      <c r="H7" s="46" t="s">
        <v>298</v>
      </c>
      <c r="I7" s="149" t="s">
        <v>167</v>
      </c>
    </row>
    <row r="8" spans="1:9" ht="43.5" x14ac:dyDescent="0.35">
      <c r="A8" s="6" t="s">
        <v>571</v>
      </c>
      <c r="B8" s="8" t="s">
        <v>553</v>
      </c>
      <c r="C8" s="8" t="s">
        <v>554</v>
      </c>
      <c r="D8" s="6" t="s">
        <v>235</v>
      </c>
      <c r="E8" s="6" t="s">
        <v>555</v>
      </c>
      <c r="F8" s="106" t="s">
        <v>556</v>
      </c>
      <c r="G8" s="24" t="s">
        <v>529</v>
      </c>
      <c r="H8" s="24" t="s">
        <v>308</v>
      </c>
      <c r="I8" s="20"/>
    </row>
    <row r="9" spans="1:9" ht="43.5" x14ac:dyDescent="0.35">
      <c r="A9" s="6" t="s">
        <v>572</v>
      </c>
      <c r="B9" s="8" t="s">
        <v>238</v>
      </c>
      <c r="C9" s="8" t="s">
        <v>558</v>
      </c>
      <c r="D9" s="6" t="s">
        <v>235</v>
      </c>
      <c r="E9" s="6" t="s">
        <v>555</v>
      </c>
      <c r="F9" s="106" t="s">
        <v>43</v>
      </c>
      <c r="G9" s="24" t="s">
        <v>533</v>
      </c>
      <c r="H9" s="24" t="s">
        <v>308</v>
      </c>
      <c r="I9" s="20"/>
    </row>
    <row r="10" spans="1:9" ht="43.5" x14ac:dyDescent="0.35">
      <c r="A10" s="6" t="s">
        <v>573</v>
      </c>
      <c r="B10" s="8" t="s">
        <v>182</v>
      </c>
      <c r="C10" s="8" t="s">
        <v>560</v>
      </c>
      <c r="D10" s="6" t="s">
        <v>235</v>
      </c>
      <c r="E10" s="6" t="s">
        <v>574</v>
      </c>
      <c r="F10" s="106" t="s">
        <v>562</v>
      </c>
      <c r="G10" s="56" t="s">
        <v>516</v>
      </c>
      <c r="H10" s="24" t="s">
        <v>308</v>
      </c>
      <c r="I10" s="20"/>
    </row>
    <row r="11" spans="1:9" ht="43.5" x14ac:dyDescent="0.35">
      <c r="A11" s="6" t="s">
        <v>575</v>
      </c>
      <c r="B11" s="122" t="s">
        <v>564</v>
      </c>
      <c r="C11" s="59" t="s">
        <v>565</v>
      </c>
      <c r="D11" s="6" t="s">
        <v>235</v>
      </c>
      <c r="E11" s="6" t="s">
        <v>574</v>
      </c>
      <c r="F11" s="106" t="s">
        <v>566</v>
      </c>
      <c r="G11" s="24" t="s">
        <v>567</v>
      </c>
      <c r="H11" s="24" t="s">
        <v>302</v>
      </c>
      <c r="I11" s="20"/>
    </row>
  </sheetData>
  <mergeCells count="4">
    <mergeCell ref="B2:C2"/>
    <mergeCell ref="D2:F2"/>
    <mergeCell ref="A5:H5"/>
    <mergeCell ref="A6:H6"/>
  </mergeCells>
  <phoneticPr fontId="17" type="noConversion"/>
  <hyperlinks>
    <hyperlink ref="B1" location="'Summary '!A1" display="&lt;- Summary" xr:uid="{583B5EF9-C036-43E6-B7A1-EC3B91F55F33}"/>
  </hyperlinks>
  <pageMargins left="0.7" right="0.7" top="0.75" bottom="0.75" header="0.3" footer="0.3"/>
  <pageSetup orientation="portrait" r:id="rId1"/>
  <headerFooter>
    <oddFooter>&amp;L_x000D_&amp;1#&amp;"Aptos"&amp;10&amp;K000000 Internal</oddFooter>
  </headerFooter>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35">
    <tabColor rgb="FFFFFF00"/>
  </sheetPr>
  <dimension ref="A1:H38"/>
  <sheetViews>
    <sheetView topLeftCell="A26" zoomScale="70" zoomScaleNormal="70" workbookViewId="0">
      <selection activeCell="A29" sqref="A29"/>
    </sheetView>
  </sheetViews>
  <sheetFormatPr defaultRowHeight="14.5" x14ac:dyDescent="0.35"/>
  <cols>
    <col min="2" max="2" width="34.81640625" customWidth="1"/>
    <col min="3" max="3" width="35.453125" customWidth="1"/>
    <col min="4" max="4" width="34.453125" hidden="1" customWidth="1"/>
    <col min="5" max="5" width="25" hidden="1" customWidth="1"/>
    <col min="6" max="6" width="37.453125" customWidth="1"/>
    <col min="7" max="7" width="17.54296875" customWidth="1"/>
    <col min="8" max="8" width="32.1796875" customWidth="1"/>
  </cols>
  <sheetData>
    <row r="1" spans="1:8" ht="23.5" x14ac:dyDescent="0.55000000000000004">
      <c r="B1" s="30" t="s">
        <v>227</v>
      </c>
    </row>
    <row r="2" spans="1:8" ht="34.5" customHeight="1" x14ac:dyDescent="0.35">
      <c r="B2" s="204" t="s">
        <v>576</v>
      </c>
      <c r="C2" s="205"/>
      <c r="D2" s="173"/>
      <c r="E2" s="173"/>
    </row>
    <row r="3" spans="1:8" ht="34.5" customHeight="1" x14ac:dyDescent="0.35">
      <c r="B3" s="150"/>
      <c r="C3" s="151"/>
      <c r="D3" s="62"/>
      <c r="E3" s="62"/>
    </row>
    <row r="4" spans="1:8" ht="34.5" customHeight="1" x14ac:dyDescent="0.35">
      <c r="B4" s="150"/>
      <c r="C4" s="151"/>
      <c r="D4" s="62"/>
      <c r="E4" s="62"/>
    </row>
    <row r="5" spans="1:8" ht="34.5" customHeight="1" x14ac:dyDescent="0.35">
      <c r="A5" s="170" t="s">
        <v>577</v>
      </c>
      <c r="B5" s="170"/>
      <c r="C5" s="170"/>
      <c r="D5" s="170"/>
      <c r="E5" s="170"/>
      <c r="F5" s="170"/>
      <c r="G5" s="170"/>
      <c r="H5" s="155"/>
    </row>
    <row r="6" spans="1:8" ht="29.15" customHeight="1" x14ac:dyDescent="0.35">
      <c r="A6" s="169" t="s">
        <v>578</v>
      </c>
      <c r="B6" s="169"/>
      <c r="C6" s="169"/>
      <c r="D6" s="169"/>
      <c r="E6" s="169"/>
      <c r="F6" s="169"/>
      <c r="G6" s="169"/>
      <c r="H6" s="20"/>
    </row>
    <row r="7" spans="1:8" s="35" customFormat="1" ht="54.75" customHeight="1" x14ac:dyDescent="0.35">
      <c r="A7" s="28" t="s">
        <v>293</v>
      </c>
      <c r="B7" s="34" t="s">
        <v>230</v>
      </c>
      <c r="C7" s="34" t="s">
        <v>294</v>
      </c>
      <c r="D7" s="152" t="s">
        <v>296</v>
      </c>
      <c r="E7" s="152" t="s">
        <v>234</v>
      </c>
      <c r="F7" s="46" t="s">
        <v>297</v>
      </c>
      <c r="G7" s="46" t="s">
        <v>298</v>
      </c>
      <c r="H7" s="55" t="s">
        <v>167</v>
      </c>
    </row>
    <row r="8" spans="1:8" ht="29" x14ac:dyDescent="0.35">
      <c r="A8" s="6" t="s">
        <v>579</v>
      </c>
      <c r="B8" s="6" t="s">
        <v>553</v>
      </c>
      <c r="C8" s="6" t="s">
        <v>580</v>
      </c>
      <c r="D8" s="6" t="s">
        <v>276</v>
      </c>
      <c r="E8" s="6" t="s">
        <v>82</v>
      </c>
      <c r="F8" s="24" t="s">
        <v>581</v>
      </c>
      <c r="G8" s="72" t="s">
        <v>302</v>
      </c>
      <c r="H8" s="8" t="s">
        <v>582</v>
      </c>
    </row>
    <row r="9" spans="1:8" ht="29" x14ac:dyDescent="0.35">
      <c r="A9" s="6" t="s">
        <v>583</v>
      </c>
      <c r="B9" s="6" t="s">
        <v>240</v>
      </c>
      <c r="C9" s="6" t="s">
        <v>584</v>
      </c>
      <c r="D9" s="6" t="s">
        <v>243</v>
      </c>
      <c r="E9" s="6" t="s">
        <v>585</v>
      </c>
      <c r="F9" s="24" t="s">
        <v>581</v>
      </c>
      <c r="G9" s="72" t="s">
        <v>302</v>
      </c>
      <c r="H9" s="6"/>
    </row>
    <row r="10" spans="1:8" ht="29" x14ac:dyDescent="0.35">
      <c r="A10" s="6" t="s">
        <v>586</v>
      </c>
      <c r="B10" s="6" t="s">
        <v>74</v>
      </c>
      <c r="C10" s="6"/>
      <c r="D10" s="6" t="s">
        <v>587</v>
      </c>
      <c r="E10" s="6" t="s">
        <v>588</v>
      </c>
      <c r="F10" s="24" t="s">
        <v>581</v>
      </c>
      <c r="G10" s="72" t="s">
        <v>302</v>
      </c>
      <c r="H10" s="6"/>
    </row>
    <row r="11" spans="1:8" ht="29" x14ac:dyDescent="0.35">
      <c r="A11" s="6" t="s">
        <v>589</v>
      </c>
      <c r="B11" s="6" t="s">
        <v>75</v>
      </c>
      <c r="C11" s="6"/>
      <c r="D11" s="6" t="s">
        <v>590</v>
      </c>
      <c r="E11" s="6" t="s">
        <v>591</v>
      </c>
      <c r="F11" s="24" t="s">
        <v>581</v>
      </c>
      <c r="G11" s="72" t="s">
        <v>302</v>
      </c>
      <c r="H11" s="6"/>
    </row>
    <row r="12" spans="1:8" ht="29" x14ac:dyDescent="0.35">
      <c r="A12" s="6" t="s">
        <v>592</v>
      </c>
      <c r="B12" s="153" t="s">
        <v>76</v>
      </c>
      <c r="C12" s="153" t="s">
        <v>593</v>
      </c>
      <c r="D12" s="6" t="s">
        <v>594</v>
      </c>
      <c r="E12" s="153" t="s">
        <v>427</v>
      </c>
      <c r="F12" s="24" t="s">
        <v>581</v>
      </c>
      <c r="G12" s="72" t="s">
        <v>302</v>
      </c>
      <c r="H12" s="6"/>
    </row>
    <row r="13" spans="1:8" ht="29" x14ac:dyDescent="0.35">
      <c r="A13" s="6" t="s">
        <v>595</v>
      </c>
      <c r="B13" s="153" t="s">
        <v>78</v>
      </c>
      <c r="C13" s="153" t="s">
        <v>596</v>
      </c>
      <c r="D13" s="154" t="s">
        <v>597</v>
      </c>
      <c r="E13" s="6" t="s">
        <v>598</v>
      </c>
      <c r="F13" s="24" t="s">
        <v>581</v>
      </c>
      <c r="G13" s="72" t="s">
        <v>302</v>
      </c>
      <c r="H13" s="6"/>
    </row>
    <row r="14" spans="1:8" ht="29" x14ac:dyDescent="0.35">
      <c r="A14" s="6" t="s">
        <v>599</v>
      </c>
      <c r="B14" s="6" t="s">
        <v>79</v>
      </c>
      <c r="C14" s="6" t="s">
        <v>600</v>
      </c>
      <c r="D14" s="6" t="s">
        <v>601</v>
      </c>
      <c r="E14" s="6" t="s">
        <v>602</v>
      </c>
      <c r="F14" s="24" t="s">
        <v>581</v>
      </c>
      <c r="G14" s="72" t="s">
        <v>302</v>
      </c>
      <c r="H14" s="6"/>
    </row>
    <row r="15" spans="1:8" ht="29" x14ac:dyDescent="0.35">
      <c r="A15" s="6" t="s">
        <v>603</v>
      </c>
      <c r="B15" s="6" t="s">
        <v>81</v>
      </c>
      <c r="C15" s="6" t="s">
        <v>604</v>
      </c>
      <c r="D15" s="6" t="s">
        <v>601</v>
      </c>
      <c r="E15" s="6" t="s">
        <v>605</v>
      </c>
      <c r="F15" s="24" t="s">
        <v>581</v>
      </c>
      <c r="G15" s="72" t="s">
        <v>302</v>
      </c>
      <c r="H15" s="6"/>
    </row>
    <row r="16" spans="1:8" ht="29" x14ac:dyDescent="0.35">
      <c r="A16" s="6" t="s">
        <v>606</v>
      </c>
      <c r="B16" s="6" t="s">
        <v>82</v>
      </c>
      <c r="C16" s="122" t="s">
        <v>607</v>
      </c>
      <c r="D16" s="6" t="s">
        <v>601</v>
      </c>
      <c r="E16" s="6" t="s">
        <v>608</v>
      </c>
      <c r="F16" s="24" t="s">
        <v>581</v>
      </c>
      <c r="G16" s="72" t="s">
        <v>302</v>
      </c>
      <c r="H16" s="6"/>
    </row>
    <row r="17" spans="1:8" ht="29" x14ac:dyDescent="0.35">
      <c r="A17" s="6" t="s">
        <v>609</v>
      </c>
      <c r="B17" s="6" t="s">
        <v>84</v>
      </c>
      <c r="C17" s="122" t="s">
        <v>610</v>
      </c>
      <c r="D17" s="6" t="s">
        <v>601</v>
      </c>
      <c r="E17" s="6" t="s">
        <v>611</v>
      </c>
      <c r="F17" s="24" t="s">
        <v>581</v>
      </c>
      <c r="G17" s="72" t="s">
        <v>302</v>
      </c>
      <c r="H17" s="6"/>
    </row>
    <row r="18" spans="1:8" ht="29" x14ac:dyDescent="0.35">
      <c r="A18" s="6" t="s">
        <v>612</v>
      </c>
      <c r="B18" s="6" t="s">
        <v>85</v>
      </c>
      <c r="C18" s="122"/>
      <c r="D18" s="6" t="s">
        <v>601</v>
      </c>
      <c r="E18" s="154" t="s">
        <v>613</v>
      </c>
      <c r="F18" s="24" t="s">
        <v>581</v>
      </c>
      <c r="G18" s="72" t="s">
        <v>302</v>
      </c>
      <c r="H18" s="6"/>
    </row>
    <row r="19" spans="1:8" ht="29" x14ac:dyDescent="0.35">
      <c r="A19" s="6" t="s">
        <v>614</v>
      </c>
      <c r="B19" s="6" t="s">
        <v>86</v>
      </c>
      <c r="C19" s="122"/>
      <c r="D19" s="6" t="s">
        <v>601</v>
      </c>
      <c r="E19" s="154" t="s">
        <v>615</v>
      </c>
      <c r="F19" s="24" t="s">
        <v>581</v>
      </c>
      <c r="G19" s="72" t="s">
        <v>302</v>
      </c>
      <c r="H19" s="6"/>
    </row>
    <row r="20" spans="1:8" ht="29" x14ac:dyDescent="0.35">
      <c r="A20" s="6" t="s">
        <v>616</v>
      </c>
      <c r="B20" s="6" t="s">
        <v>87</v>
      </c>
      <c r="C20" s="122" t="s">
        <v>617</v>
      </c>
      <c r="D20" s="6" t="s">
        <v>601</v>
      </c>
      <c r="E20" s="6" t="s">
        <v>618</v>
      </c>
      <c r="F20" s="24" t="s">
        <v>581</v>
      </c>
      <c r="G20" s="72" t="s">
        <v>302</v>
      </c>
      <c r="H20" s="6"/>
    </row>
    <row r="21" spans="1:8" ht="29" x14ac:dyDescent="0.35">
      <c r="A21" s="6" t="s">
        <v>619</v>
      </c>
      <c r="B21" s="6" t="s">
        <v>89</v>
      </c>
      <c r="C21" s="122" t="s">
        <v>620</v>
      </c>
      <c r="D21" s="6" t="s">
        <v>601</v>
      </c>
      <c r="E21" s="6" t="s">
        <v>621</v>
      </c>
      <c r="F21" s="24" t="s">
        <v>581</v>
      </c>
      <c r="G21" s="72" t="s">
        <v>302</v>
      </c>
      <c r="H21" s="6"/>
    </row>
    <row r="22" spans="1:8" ht="29" x14ac:dyDescent="0.35">
      <c r="A22" s="6" t="s">
        <v>622</v>
      </c>
      <c r="B22" s="6" t="s">
        <v>90</v>
      </c>
      <c r="C22" s="122" t="s">
        <v>623</v>
      </c>
      <c r="D22" s="6" t="s">
        <v>601</v>
      </c>
      <c r="E22" s="6" t="s">
        <v>624</v>
      </c>
      <c r="F22" s="24" t="s">
        <v>581</v>
      </c>
      <c r="G22" s="72" t="s">
        <v>302</v>
      </c>
      <c r="H22" s="6"/>
    </row>
    <row r="23" spans="1:8" ht="29" x14ac:dyDescent="0.35">
      <c r="A23" s="6" t="s">
        <v>625</v>
      </c>
      <c r="B23" s="6" t="s">
        <v>91</v>
      </c>
      <c r="C23" s="122" t="s">
        <v>626</v>
      </c>
      <c r="D23" s="6" t="s">
        <v>601</v>
      </c>
      <c r="E23" s="6" t="s">
        <v>627</v>
      </c>
      <c r="F23" s="24" t="s">
        <v>581</v>
      </c>
      <c r="G23" s="72" t="s">
        <v>302</v>
      </c>
      <c r="H23" s="6"/>
    </row>
    <row r="24" spans="1:8" ht="29" x14ac:dyDescent="0.35">
      <c r="A24" s="6" t="s">
        <v>628</v>
      </c>
      <c r="B24" s="6" t="s">
        <v>629</v>
      </c>
      <c r="C24" s="122" t="s">
        <v>630</v>
      </c>
      <c r="D24" s="6" t="s">
        <v>601</v>
      </c>
      <c r="E24" s="154" t="s">
        <v>631</v>
      </c>
      <c r="F24" s="24" t="s">
        <v>581</v>
      </c>
      <c r="G24" s="72" t="s">
        <v>302</v>
      </c>
      <c r="H24" s="6"/>
    </row>
    <row r="25" spans="1:8" ht="29" x14ac:dyDescent="0.35">
      <c r="A25" s="6" t="s">
        <v>632</v>
      </c>
      <c r="B25" s="6" t="s">
        <v>633</v>
      </c>
      <c r="C25" s="122" t="s">
        <v>240</v>
      </c>
      <c r="D25" s="6" t="s">
        <v>601</v>
      </c>
      <c r="E25" s="154" t="s">
        <v>634</v>
      </c>
      <c r="F25" s="24" t="s">
        <v>581</v>
      </c>
      <c r="G25" s="72" t="s">
        <v>302</v>
      </c>
      <c r="H25" s="6"/>
    </row>
    <row r="26" spans="1:8" ht="29" x14ac:dyDescent="0.35">
      <c r="A26" s="6" t="s">
        <v>635</v>
      </c>
      <c r="B26" s="6" t="s">
        <v>92</v>
      </c>
      <c r="C26" s="122" t="s">
        <v>636</v>
      </c>
      <c r="D26" s="6" t="s">
        <v>601</v>
      </c>
      <c r="E26" s="6" t="s">
        <v>637</v>
      </c>
      <c r="F26" s="24" t="s">
        <v>581</v>
      </c>
      <c r="G26" s="72" t="s">
        <v>302</v>
      </c>
      <c r="H26" s="6"/>
    </row>
    <row r="27" spans="1:8" ht="29" x14ac:dyDescent="0.35">
      <c r="A27" s="6" t="s">
        <v>638</v>
      </c>
      <c r="B27" s="6" t="s">
        <v>93</v>
      </c>
      <c r="C27" s="122" t="s">
        <v>639</v>
      </c>
      <c r="D27" s="6" t="s">
        <v>601</v>
      </c>
      <c r="E27" s="6" t="s">
        <v>640</v>
      </c>
      <c r="F27" s="24" t="s">
        <v>581</v>
      </c>
      <c r="G27" s="72" t="s">
        <v>302</v>
      </c>
      <c r="H27" s="6"/>
    </row>
    <row r="28" spans="1:8" ht="29" x14ac:dyDescent="0.35">
      <c r="A28" s="6" t="s">
        <v>641</v>
      </c>
      <c r="B28" s="6" t="s">
        <v>94</v>
      </c>
      <c r="C28" s="158" t="s">
        <v>642</v>
      </c>
      <c r="D28" s="158" t="s">
        <v>643</v>
      </c>
      <c r="E28" s="158" t="s">
        <v>644</v>
      </c>
      <c r="F28" s="163" t="s">
        <v>581</v>
      </c>
      <c r="G28" s="164" t="s">
        <v>302</v>
      </c>
      <c r="H28" s="158"/>
    </row>
    <row r="29" spans="1:8" s="35" customFormat="1" ht="29" x14ac:dyDescent="0.35">
      <c r="A29" s="6" t="s">
        <v>645</v>
      </c>
      <c r="B29" s="168" t="s">
        <v>646</v>
      </c>
      <c r="C29" s="168" t="s">
        <v>647</v>
      </c>
      <c r="D29" s="6"/>
      <c r="E29" s="157"/>
      <c r="F29" s="163" t="s">
        <v>581</v>
      </c>
      <c r="G29" s="164" t="s">
        <v>302</v>
      </c>
      <c r="H29" s="158"/>
    </row>
    <row r="30" spans="1:8" ht="29" x14ac:dyDescent="0.35">
      <c r="A30" s="6" t="s">
        <v>648</v>
      </c>
      <c r="B30" s="157" t="s">
        <v>95</v>
      </c>
      <c r="C30" s="66"/>
      <c r="D30" s="66" t="s">
        <v>643</v>
      </c>
      <c r="E30" s="66" t="s">
        <v>649</v>
      </c>
      <c r="F30" s="159" t="s">
        <v>581</v>
      </c>
      <c r="G30" s="160" t="s">
        <v>302</v>
      </c>
      <c r="H30" s="66"/>
    </row>
    <row r="31" spans="1:8" ht="29" x14ac:dyDescent="0.35">
      <c r="A31" s="6" t="s">
        <v>650</v>
      </c>
      <c r="B31" s="162" t="s">
        <v>651</v>
      </c>
      <c r="C31" s="66"/>
      <c r="D31" s="66"/>
      <c r="E31" s="66"/>
      <c r="F31" s="165" t="s">
        <v>652</v>
      </c>
      <c r="G31" s="160" t="s">
        <v>302</v>
      </c>
      <c r="H31" s="161"/>
    </row>
    <row r="32" spans="1:8" x14ac:dyDescent="0.35">
      <c r="A32" s="6" t="s">
        <v>653</v>
      </c>
      <c r="B32" s="162" t="s">
        <v>332</v>
      </c>
      <c r="C32" s="66"/>
      <c r="D32" s="66"/>
      <c r="E32" s="66"/>
      <c r="F32" s="122" t="s">
        <v>333</v>
      </c>
      <c r="G32" s="160" t="s">
        <v>302</v>
      </c>
      <c r="H32" s="161"/>
    </row>
    <row r="34" spans="2:2" x14ac:dyDescent="0.35">
      <c r="B34" s="11"/>
    </row>
    <row r="35" spans="2:2" x14ac:dyDescent="0.35">
      <c r="B35" s="11"/>
    </row>
    <row r="36" spans="2:2" x14ac:dyDescent="0.35">
      <c r="B36" s="11"/>
    </row>
    <row r="37" spans="2:2" x14ac:dyDescent="0.35">
      <c r="B37" s="11"/>
    </row>
    <row r="38" spans="2:2" x14ac:dyDescent="0.35">
      <c r="B38" s="11"/>
    </row>
  </sheetData>
  <customSheetViews>
    <customSheetView guid="{183AA635-FA98-4C70-9AA7-962C7F5F677C}">
      <selection activeCell="L9" sqref="L9"/>
      <pageMargins left="0" right="0" top="0" bottom="0" header="0" footer="0"/>
      <pageSetup orientation="portrait" r:id="rId1"/>
    </customSheetView>
  </customSheetViews>
  <mergeCells count="4">
    <mergeCell ref="B2:C2"/>
    <mergeCell ref="D2:E2"/>
    <mergeCell ref="A5:G5"/>
    <mergeCell ref="A6:G6"/>
  </mergeCells>
  <phoneticPr fontId="17" type="noConversion"/>
  <hyperlinks>
    <hyperlink ref="B1" location="'Summary '!A1" display="&lt;- Summary" xr:uid="{02D12372-ABD0-44BC-B5C0-C5153A612E31}"/>
  </hyperlinks>
  <pageMargins left="0.7" right="0.7" top="0.75" bottom="0.75" header="0.3" footer="0.3"/>
  <pageSetup orientation="portrait" r:id="rId2"/>
  <headerFooter>
    <oddFooter>&amp;L_x000D_&amp;1#&amp;"Aptos"&amp;10&amp;K000000 Internal</oddFooter>
  </headerFooter>
  <tableParts count="1">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5">
    <tabColor rgb="FFFFFF00"/>
  </sheetPr>
  <dimension ref="A1:G7"/>
  <sheetViews>
    <sheetView zoomScale="75" zoomScaleNormal="60" workbookViewId="0">
      <selection activeCell="F5" sqref="F5"/>
    </sheetView>
  </sheetViews>
  <sheetFormatPr defaultRowHeight="14.5" x14ac:dyDescent="0.35"/>
  <cols>
    <col min="1" max="1" width="19.54296875" customWidth="1"/>
    <col min="2" max="2" width="27.453125" customWidth="1"/>
    <col min="3" max="3" width="13.81640625" hidden="1" customWidth="1"/>
    <col min="4" max="5" width="0" hidden="1" customWidth="1"/>
    <col min="6" max="6" width="16" customWidth="1"/>
  </cols>
  <sheetData>
    <row r="1" spans="1:7" ht="21" x14ac:dyDescent="0.5">
      <c r="A1" s="29" t="s">
        <v>227</v>
      </c>
    </row>
    <row r="2" spans="1:7" ht="45.65" customHeight="1" x14ac:dyDescent="0.35">
      <c r="A2" s="206" t="s">
        <v>654</v>
      </c>
      <c r="B2" s="206"/>
      <c r="C2" s="173"/>
      <c r="D2" s="173"/>
      <c r="E2" s="173"/>
    </row>
    <row r="3" spans="1:7" ht="45.65" customHeight="1" x14ac:dyDescent="0.35">
      <c r="A3" s="27"/>
      <c r="B3" s="27"/>
      <c r="C3" s="54"/>
      <c r="D3" s="54"/>
      <c r="E3" s="54"/>
    </row>
    <row r="4" spans="1:7" ht="44.25" customHeight="1" x14ac:dyDescent="0.35">
      <c r="A4" s="31" t="s">
        <v>230</v>
      </c>
      <c r="B4" s="32" t="s">
        <v>294</v>
      </c>
      <c r="C4" s="75" t="s">
        <v>295</v>
      </c>
      <c r="D4" s="75" t="s">
        <v>655</v>
      </c>
      <c r="E4" s="75" t="s">
        <v>656</v>
      </c>
      <c r="F4" s="116" t="s">
        <v>297</v>
      </c>
      <c r="G4" s="116" t="s">
        <v>167</v>
      </c>
    </row>
    <row r="5" spans="1:7" x14ac:dyDescent="0.35">
      <c r="A5" s="20" t="s">
        <v>342</v>
      </c>
      <c r="B5" s="3"/>
      <c r="C5" s="25"/>
      <c r="D5" s="25"/>
      <c r="E5" s="25"/>
      <c r="F5" s="25" t="s">
        <v>251</v>
      </c>
      <c r="G5" s="25"/>
    </row>
    <row r="6" spans="1:7" x14ac:dyDescent="0.35">
      <c r="A6" s="20" t="s">
        <v>240</v>
      </c>
      <c r="B6" s="3"/>
      <c r="C6" s="3"/>
      <c r="D6" s="3"/>
      <c r="E6" s="3"/>
      <c r="F6" s="25" t="s">
        <v>251</v>
      </c>
      <c r="G6" s="3"/>
    </row>
    <row r="7" spans="1:7" x14ac:dyDescent="0.35">
      <c r="A7" s="21" t="s">
        <v>657</v>
      </c>
      <c r="B7" s="5"/>
      <c r="C7" s="5"/>
      <c r="D7" s="5"/>
      <c r="E7" s="5"/>
      <c r="F7" s="25" t="s">
        <v>251</v>
      </c>
      <c r="G7" s="5"/>
    </row>
  </sheetData>
  <mergeCells count="2">
    <mergeCell ref="A2:B2"/>
    <mergeCell ref="C2:E2"/>
  </mergeCells>
  <hyperlinks>
    <hyperlink ref="A1" location="'Summary '!A1" display="&lt;- Summary" xr:uid="{3BA8C694-D1C0-476C-AADD-00F2E190F23F}"/>
  </hyperlinks>
  <pageMargins left="0.7" right="0.7" top="0.75" bottom="0.75" header="0.3" footer="0.3"/>
  <pageSetup orientation="portrait" r:id="rId1"/>
  <headerFooter>
    <oddFooter>&amp;L_x000D_&amp;1#&amp;"Aptos"&amp;10&amp;K000000 Internal</oddFooter>
  </headerFooter>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6">
    <tabColor rgb="FFFFFF00"/>
  </sheetPr>
  <dimension ref="A1:G7"/>
  <sheetViews>
    <sheetView zoomScale="60" zoomScaleNormal="60" workbookViewId="0">
      <selection activeCell="Q8" sqref="Q8"/>
    </sheetView>
  </sheetViews>
  <sheetFormatPr defaultRowHeight="14.5" x14ac:dyDescent="0.35"/>
  <cols>
    <col min="1" max="1" width="15.1796875" bestFit="1" customWidth="1"/>
    <col min="2" max="2" width="12.81640625" customWidth="1"/>
    <col min="3" max="3" width="8.7265625" hidden="1" customWidth="1"/>
    <col min="4" max="5" width="0" hidden="1" customWidth="1"/>
    <col min="6" max="6" width="18" customWidth="1"/>
  </cols>
  <sheetData>
    <row r="1" spans="1:7" ht="23.5" x14ac:dyDescent="0.55000000000000004">
      <c r="A1" s="30" t="s">
        <v>227</v>
      </c>
    </row>
    <row r="2" spans="1:7" ht="46.4" customHeight="1" x14ac:dyDescent="0.35">
      <c r="A2" s="182" t="s">
        <v>658</v>
      </c>
      <c r="B2" s="182"/>
      <c r="C2" s="173"/>
      <c r="D2" s="173"/>
      <c r="E2" s="173"/>
    </row>
    <row r="3" spans="1:7" ht="46.4" customHeight="1" x14ac:dyDescent="0.35">
      <c r="A3" s="49"/>
      <c r="B3" s="49"/>
      <c r="C3" s="54"/>
      <c r="D3" s="54"/>
      <c r="E3" s="54"/>
    </row>
    <row r="4" spans="1:7" ht="62" x14ac:dyDescent="0.35">
      <c r="A4" s="38" t="s">
        <v>230</v>
      </c>
      <c r="B4" s="39" t="s">
        <v>294</v>
      </c>
      <c r="C4" s="75" t="s">
        <v>295</v>
      </c>
      <c r="D4" s="75" t="s">
        <v>655</v>
      </c>
      <c r="E4" s="75" t="s">
        <v>656</v>
      </c>
      <c r="F4" s="116" t="s">
        <v>297</v>
      </c>
      <c r="G4" s="116" t="s">
        <v>167</v>
      </c>
    </row>
    <row r="5" spans="1:7" x14ac:dyDescent="0.35">
      <c r="A5" s="44" t="s">
        <v>659</v>
      </c>
      <c r="B5" s="3"/>
      <c r="C5" s="3"/>
      <c r="D5" s="3"/>
      <c r="E5" s="3"/>
      <c r="F5" s="25" t="s">
        <v>251</v>
      </c>
      <c r="G5" s="25"/>
    </row>
    <row r="6" spans="1:7" x14ac:dyDescent="0.35">
      <c r="A6" s="20" t="s">
        <v>342</v>
      </c>
      <c r="B6" s="3"/>
      <c r="C6" s="3"/>
      <c r="D6" s="3"/>
      <c r="E6" s="3"/>
      <c r="F6" s="25" t="s">
        <v>251</v>
      </c>
      <c r="G6" s="3"/>
    </row>
    <row r="7" spans="1:7" x14ac:dyDescent="0.35">
      <c r="A7" s="21" t="s">
        <v>660</v>
      </c>
      <c r="B7" s="5"/>
      <c r="C7" s="3"/>
      <c r="D7" s="3"/>
      <c r="E7" s="3"/>
      <c r="F7" s="25" t="s">
        <v>251</v>
      </c>
      <c r="G7" s="5"/>
    </row>
  </sheetData>
  <mergeCells count="2">
    <mergeCell ref="A2:B2"/>
    <mergeCell ref="C2:E2"/>
  </mergeCells>
  <hyperlinks>
    <hyperlink ref="A1" location="'Summary '!A1" display="&lt;- Summary" xr:uid="{D30306F5-E5A7-44E3-A8CF-1C6C31B97EB5}"/>
  </hyperlinks>
  <pageMargins left="0.7" right="0.7" top="0.75" bottom="0.75" header="0.3" footer="0.3"/>
  <pageSetup orientation="portrait" r:id="rId1"/>
  <headerFooter>
    <oddFooter>&amp;L_x000D_&amp;1#&amp;"Aptos"&amp;10&amp;K000000 Internal</oddFooter>
  </headerFooter>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43A70CC58D90D42810A5FB4E341896E" ma:contentTypeVersion="3" ma:contentTypeDescription="Create a new document." ma:contentTypeScope="" ma:versionID="cdcdf9498ba422245be6c23454f89730">
  <xsd:schema xmlns:xsd="http://www.w3.org/2001/XMLSchema" xmlns:xs="http://www.w3.org/2001/XMLSchema" xmlns:p="http://schemas.microsoft.com/office/2006/metadata/properties" xmlns:ns2="edcbf321-57e4-4ccd-8840-ac477e9a426a" targetNamespace="http://schemas.microsoft.com/office/2006/metadata/properties" ma:root="true" ma:fieldsID="186c8377d1779e329dbc41d4412f5cb8" ns2:_="">
    <xsd:import namespace="edcbf321-57e4-4ccd-8840-ac477e9a426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dcbf321-57e4-4ccd-8840-ac477e9a426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F3AF32B-3389-4459-9892-0CB366BDC7B3}">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AE8FBFAC-E23D-4BB4-8CBF-896F42440E38}">
  <ds:schemaRefs>
    <ds:schemaRef ds:uri="http://schemas.microsoft.com/sharepoint/v3/contenttype/forms"/>
  </ds:schemaRefs>
</ds:datastoreItem>
</file>

<file path=customXml/itemProps3.xml><?xml version="1.0" encoding="utf-8"?>
<ds:datastoreItem xmlns:ds="http://schemas.openxmlformats.org/officeDocument/2006/customXml" ds:itemID="{EAB37A65-CDD2-42D1-B877-E15427ECEA2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dcbf321-57e4-4ccd-8840-ac477e9a426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Data Availability backup</vt:lpstr>
      <vt:lpstr>Data Availability backup2</vt:lpstr>
      <vt:lpstr>Analysis</vt:lpstr>
      <vt:lpstr>Part (FG) (2)</vt:lpstr>
      <vt:lpstr>Part (FG)</vt:lpstr>
      <vt:lpstr>Site</vt:lpstr>
      <vt:lpstr>Customer</vt:lpstr>
      <vt:lpstr>PartCustomer</vt:lpstr>
      <vt:lpstr>PartUOMConversion</vt:lpstr>
      <vt:lpstr>IndependentDemand</vt:lpstr>
      <vt:lpstr>HistoricalDemandActuals</vt:lpstr>
      <vt:lpstr>HDA(SecondarySales)</vt:lpstr>
      <vt:lpstr>ProductHierarchy</vt:lpstr>
      <vt:lpstr>Calendar</vt:lpstr>
      <vt:lpstr>CalendarDate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Singh, Manleen</dc:creator>
  <cp:keywords/>
  <dc:description/>
  <cp:lastModifiedBy>Pranav P Kulkarni</cp:lastModifiedBy>
  <cp:revision/>
  <dcterms:created xsi:type="dcterms:W3CDTF">2020-03-06T08:50:09Z</dcterms:created>
  <dcterms:modified xsi:type="dcterms:W3CDTF">2026-03-30T07:51:23Z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0x010100E43A70CC58D90D42810A5FB4E341896E</vt:lpwstr>
  </property>
  <property fmtid="{D5CDD505-2E9C-101B-9397-08002B2CF9AE}" pid="3" name="MediaServiceImageTags">
    <vt:lpwstr/>
  </property>
  <property fmtid="{D5CDD505-2E9C-101B-9397-08002B2CF9AE}" pid="4" name="MSIP_Label_e9b5543e-fce3-4775-ab80-38f9ccd7ca8a_Enabled">
    <vt:lpwstr>true</vt:lpwstr>
  </property>
  <property fmtid="{D5CDD505-2E9C-101B-9397-08002B2CF9AE}" pid="5" name="MSIP_Label_e9b5543e-fce3-4775-ab80-38f9ccd7ca8a_SetDate">
    <vt:lpwstr>2026-01-29T10:46:02Z</vt:lpwstr>
  </property>
  <property fmtid="{D5CDD505-2E9C-101B-9397-08002B2CF9AE}" pid="6" name="MSIP_Label_e9b5543e-fce3-4775-ab80-38f9ccd7ca8a_Method">
    <vt:lpwstr>Privileged</vt:lpwstr>
  </property>
  <property fmtid="{D5CDD505-2E9C-101B-9397-08002B2CF9AE}" pid="7" name="MSIP_Label_e9b5543e-fce3-4775-ab80-38f9ccd7ca8a_Name">
    <vt:lpwstr>Internal Label</vt:lpwstr>
  </property>
  <property fmtid="{D5CDD505-2E9C-101B-9397-08002B2CF9AE}" pid="8" name="MSIP_Label_e9b5543e-fce3-4775-ab80-38f9ccd7ca8a_SiteId">
    <vt:lpwstr>954270f4-38c1-48f4-ae2a-8bd16d8519b9</vt:lpwstr>
  </property>
  <property fmtid="{D5CDD505-2E9C-101B-9397-08002B2CF9AE}" pid="9" name="MSIP_Label_e9b5543e-fce3-4775-ab80-38f9ccd7ca8a_ActionId">
    <vt:lpwstr>9faa3aa7-c4a0-4097-9ec1-137234cde4ef</vt:lpwstr>
  </property>
  <property fmtid="{D5CDD505-2E9C-101B-9397-08002B2CF9AE}" pid="10" name="MSIP_Label_e9b5543e-fce3-4775-ab80-38f9ccd7ca8a_ContentBits">
    <vt:lpwstr>2</vt:lpwstr>
  </property>
  <property fmtid="{D5CDD505-2E9C-101B-9397-08002B2CF9AE}" pid="11" name="MSIP_Label_e9b5543e-fce3-4775-ab80-38f9ccd7ca8a_Tag">
    <vt:lpwstr>10, 0, 1, 1</vt:lpwstr>
  </property>
</Properties>
</file>